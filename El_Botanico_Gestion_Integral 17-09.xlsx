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Users\lucas\Downloads\"/>
    </mc:Choice>
  </mc:AlternateContent>
  <xr:revisionPtr revIDLastSave="0" documentId="13_ncr:2001_{C80B9061-7B85-4D24-88C2-0D2B48FDD263}" xr6:coauthVersionLast="47" xr6:coauthVersionMax="47" xr10:uidLastSave="{00000000-0000-0000-0000-000000000000}"/>
  <bookViews>
    <workbookView xWindow="-120" yWindow="-120" windowWidth="20730" windowHeight="11160" activeTab="2" xr2:uid="{00000000-000D-0000-FFFF-FFFF00000000}"/>
  </bookViews>
  <sheets>
    <sheet name="CONTROL" sheetId="1" r:id="rId1"/>
    <sheet name="COMPRAS" sheetId="9" r:id="rId2"/>
    <sheet name="INVENTARIO" sheetId="10" r:id="rId3"/>
    <sheet name="macetas" sheetId="8" r:id="rId4"/>
    <sheet name="Ventas" sheetId="3" r:id="rId5"/>
    <sheet name="Costos" sheetId="4" r:id="rId6"/>
    <sheet name="FlujoCaja" sheetId="7" r:id="rId7"/>
  </sheets>
  <definedNames>
    <definedName name="_xlnm._FilterDatabase" localSheetId="4" hidden="1">Ventas!$A$1:$J$807</definedName>
  </definedNames>
  <calcPr calcId="181029"/>
  <fileRecoveryPr repairLoad="1"/>
</workbook>
</file>

<file path=xl/calcChain.xml><?xml version="1.0" encoding="utf-8"?>
<calcChain xmlns="http://schemas.openxmlformats.org/spreadsheetml/2006/main">
  <c r="J2" i="3" l="1"/>
  <c r="B81" i="1" s="1"/>
  <c r="B78" i="1"/>
  <c r="I631" i="3"/>
  <c r="F2" i="8"/>
  <c r="G99" i="10"/>
  <c r="F99" i="10"/>
  <c r="C99" i="10"/>
  <c r="D99" i="10"/>
  <c r="A99" i="10"/>
  <c r="B8" i="8"/>
  <c r="G8" i="8" s="1"/>
  <c r="C70" i="10"/>
  <c r="G70" i="10" s="1"/>
  <c r="D70" i="10"/>
  <c r="F70" i="10" s="1"/>
  <c r="A70" i="10"/>
  <c r="C40" i="10"/>
  <c r="G40" i="10" s="1"/>
  <c r="D40" i="10"/>
  <c r="F40" i="10" s="1"/>
  <c r="A40" i="10"/>
  <c r="C114" i="10"/>
  <c r="G114" i="10" s="1"/>
  <c r="D114" i="10"/>
  <c r="F114" i="10" s="1"/>
  <c r="A114" i="10"/>
  <c r="C63" i="9"/>
  <c r="C143" i="9"/>
  <c r="C182" i="10"/>
  <c r="G182" i="10" s="1"/>
  <c r="D182" i="10"/>
  <c r="F182" i="10" s="1"/>
  <c r="A182" i="10"/>
  <c r="C190" i="10"/>
  <c r="G190" i="10" s="1"/>
  <c r="D190" i="10"/>
  <c r="F190" i="10" s="1"/>
  <c r="A190" i="10"/>
  <c r="C181" i="10"/>
  <c r="G181" i="10" s="1"/>
  <c r="D181" i="10"/>
  <c r="F181" i="10" s="1"/>
  <c r="A181" i="10"/>
  <c r="B30" i="10"/>
  <c r="C30" i="10"/>
  <c r="G30" i="10" s="1"/>
  <c r="D30" i="10"/>
  <c r="F30" i="10" s="1"/>
  <c r="A30" i="10"/>
  <c r="G9" i="8"/>
  <c r="E9" i="8"/>
  <c r="B7" i="8"/>
  <c r="B88" i="10"/>
  <c r="C88" i="10"/>
  <c r="G88" i="10" s="1"/>
  <c r="D88" i="10"/>
  <c r="F88" i="10" s="1"/>
  <c r="A88" i="10"/>
  <c r="B84" i="10"/>
  <c r="C84" i="10"/>
  <c r="G84" i="10" s="1"/>
  <c r="D84" i="10"/>
  <c r="F84" i="10" s="1"/>
  <c r="A84" i="10"/>
  <c r="C12" i="9"/>
  <c r="C111" i="9"/>
  <c r="C167" i="9"/>
  <c r="C79" i="9"/>
  <c r="C184" i="9"/>
  <c r="C169" i="10"/>
  <c r="G169" i="10" s="1"/>
  <c r="D169" i="10"/>
  <c r="F169" i="10" s="1"/>
  <c r="A169" i="10"/>
  <c r="B207" i="10"/>
  <c r="C207" i="10"/>
  <c r="G207" i="10" s="1"/>
  <c r="D207" i="10"/>
  <c r="F207" i="10" s="1"/>
  <c r="A207" i="10"/>
  <c r="C39" i="10"/>
  <c r="G39" i="10" s="1"/>
  <c r="D39" i="10"/>
  <c r="F39" i="10" s="1"/>
  <c r="A39" i="10"/>
  <c r="B19" i="10"/>
  <c r="C19" i="10"/>
  <c r="G19" i="10" s="1"/>
  <c r="D19" i="10"/>
  <c r="F19" i="10" s="1"/>
  <c r="A19" i="10"/>
  <c r="B74" i="10"/>
  <c r="C74" i="10"/>
  <c r="G74" i="10" s="1"/>
  <c r="D74" i="10"/>
  <c r="F74" i="10" s="1"/>
  <c r="A74" i="10"/>
  <c r="C91" i="9"/>
  <c r="C91" i="10" s="1"/>
  <c r="B90" i="10"/>
  <c r="C90" i="10"/>
  <c r="G90" i="10" s="1"/>
  <c r="D90" i="10"/>
  <c r="F90" i="10" s="1"/>
  <c r="A90" i="10"/>
  <c r="C195" i="9"/>
  <c r="B106" i="10"/>
  <c r="C106" i="10"/>
  <c r="G106" i="10" s="1"/>
  <c r="D106" i="10"/>
  <c r="F106" i="10" s="1"/>
  <c r="A106" i="10"/>
  <c r="G23" i="8"/>
  <c r="E23" i="8"/>
  <c r="G22" i="8"/>
  <c r="E22" i="8"/>
  <c r="G21" i="8"/>
  <c r="E21" i="8"/>
  <c r="B34" i="8"/>
  <c r="G30" i="8"/>
  <c r="E30" i="8"/>
  <c r="G41" i="8"/>
  <c r="E41" i="8"/>
  <c r="B39" i="8"/>
  <c r="G40" i="8"/>
  <c r="E40" i="8"/>
  <c r="G59" i="8"/>
  <c r="E59" i="8"/>
  <c r="G17" i="8"/>
  <c r="E17" i="8"/>
  <c r="B19" i="8"/>
  <c r="G19" i="8" s="1"/>
  <c r="G10" i="8"/>
  <c r="B3" i="8"/>
  <c r="C136" i="9"/>
  <c r="C47" i="9"/>
  <c r="B107" i="10"/>
  <c r="C107" i="10"/>
  <c r="G107" i="10" s="1"/>
  <c r="D107" i="10"/>
  <c r="F107" i="10" s="1"/>
  <c r="A107" i="10"/>
  <c r="B82" i="10"/>
  <c r="C82" i="10"/>
  <c r="G82" i="10" s="1"/>
  <c r="A82" i="10"/>
  <c r="A69" i="10"/>
  <c r="B68" i="10"/>
  <c r="C68" i="10"/>
  <c r="G68" i="10" s="1"/>
  <c r="D68" i="10"/>
  <c r="F68" i="10" s="1"/>
  <c r="B69" i="10"/>
  <c r="C69" i="10"/>
  <c r="G69" i="10" s="1"/>
  <c r="D69" i="10"/>
  <c r="F69" i="10" s="1"/>
  <c r="A68" i="10"/>
  <c r="B218" i="10"/>
  <c r="C218" i="10"/>
  <c r="G218" i="10" s="1"/>
  <c r="D218" i="10"/>
  <c r="F218" i="10" s="1"/>
  <c r="A218" i="10"/>
  <c r="A80" i="10"/>
  <c r="C80" i="10"/>
  <c r="G80" i="10" s="1"/>
  <c r="D80" i="10"/>
  <c r="F80" i="10" s="1"/>
  <c r="B75" i="10"/>
  <c r="C75" i="10"/>
  <c r="G75" i="10" s="1"/>
  <c r="D75" i="10"/>
  <c r="F75" i="10" s="1"/>
  <c r="A75" i="10"/>
  <c r="C42" i="10"/>
  <c r="G42" i="10" s="1"/>
  <c r="D42" i="10"/>
  <c r="F42" i="10" s="1"/>
  <c r="A42" i="10"/>
  <c r="G58" i="8"/>
  <c r="H596" i="3"/>
  <c r="H597" i="3"/>
  <c r="H598" i="3"/>
  <c r="H599" i="3"/>
  <c r="H600" i="3"/>
  <c r="H601" i="3"/>
  <c r="H602" i="3"/>
  <c r="H603" i="3"/>
  <c r="H604" i="3"/>
  <c r="H605" i="3"/>
  <c r="H606" i="3"/>
  <c r="H607" i="3"/>
  <c r="H608" i="3"/>
  <c r="H609" i="3"/>
  <c r="H610" i="3"/>
  <c r="H611" i="3"/>
  <c r="H612" i="3"/>
  <c r="H613" i="3"/>
  <c r="H614" i="3"/>
  <c r="H615" i="3"/>
  <c r="H616" i="3"/>
  <c r="H617" i="3"/>
  <c r="H618" i="3"/>
  <c r="H619" i="3"/>
  <c r="H620" i="3"/>
  <c r="H621" i="3"/>
  <c r="H622" i="3"/>
  <c r="H623" i="3"/>
  <c r="H624" i="3"/>
  <c r="H625" i="3"/>
  <c r="H626" i="3"/>
  <c r="H627" i="3"/>
  <c r="H628" i="3"/>
  <c r="H629" i="3"/>
  <c r="H630" i="3"/>
  <c r="H631" i="3"/>
  <c r="H632" i="3"/>
  <c r="H633" i="3"/>
  <c r="H634" i="3"/>
  <c r="H635" i="3"/>
  <c r="H636" i="3"/>
  <c r="H637" i="3"/>
  <c r="H638" i="3"/>
  <c r="H639" i="3"/>
  <c r="H640" i="3"/>
  <c r="H641" i="3"/>
  <c r="H642" i="3"/>
  <c r="H643" i="3"/>
  <c r="H644" i="3"/>
  <c r="H645" i="3"/>
  <c r="H646" i="3"/>
  <c r="H647" i="3"/>
  <c r="H648" i="3"/>
  <c r="H649" i="3"/>
  <c r="H650" i="3"/>
  <c r="H651" i="3"/>
  <c r="H652" i="3"/>
  <c r="H653" i="3"/>
  <c r="H654" i="3"/>
  <c r="H655" i="3"/>
  <c r="H656" i="3"/>
  <c r="H657" i="3"/>
  <c r="H658" i="3"/>
  <c r="H659" i="3"/>
  <c r="H660" i="3"/>
  <c r="H661" i="3"/>
  <c r="H662" i="3"/>
  <c r="H663" i="3"/>
  <c r="H664" i="3"/>
  <c r="H665" i="3"/>
  <c r="H666" i="3"/>
  <c r="H667" i="3"/>
  <c r="H668" i="3"/>
  <c r="H669" i="3"/>
  <c r="H670" i="3"/>
  <c r="H671" i="3"/>
  <c r="H672" i="3"/>
  <c r="H673" i="3"/>
  <c r="H674" i="3"/>
  <c r="H675" i="3"/>
  <c r="H676" i="3"/>
  <c r="H677" i="3"/>
  <c r="H678" i="3"/>
  <c r="H679" i="3"/>
  <c r="H680" i="3"/>
  <c r="H681" i="3"/>
  <c r="H682" i="3"/>
  <c r="H683" i="3"/>
  <c r="H684" i="3"/>
  <c r="H685" i="3"/>
  <c r="H686" i="3"/>
  <c r="H687" i="3"/>
  <c r="H688" i="3"/>
  <c r="H689" i="3"/>
  <c r="H690" i="3"/>
  <c r="H691" i="3"/>
  <c r="H692" i="3"/>
  <c r="H693" i="3"/>
  <c r="H694" i="3"/>
  <c r="H695" i="3"/>
  <c r="H696" i="3"/>
  <c r="H697" i="3"/>
  <c r="H698" i="3"/>
  <c r="H699" i="3"/>
  <c r="H700" i="3"/>
  <c r="H701" i="3"/>
  <c r="H702" i="3"/>
  <c r="H703" i="3"/>
  <c r="H704" i="3"/>
  <c r="H705" i="3"/>
  <c r="H706" i="3"/>
  <c r="H707" i="3"/>
  <c r="H708" i="3"/>
  <c r="H709" i="3"/>
  <c r="H710" i="3"/>
  <c r="H711" i="3"/>
  <c r="H712" i="3"/>
  <c r="H713" i="3"/>
  <c r="H714" i="3"/>
  <c r="H715" i="3"/>
  <c r="H716" i="3"/>
  <c r="H717" i="3"/>
  <c r="H718" i="3"/>
  <c r="H719" i="3"/>
  <c r="H720" i="3"/>
  <c r="H721" i="3"/>
  <c r="H722" i="3"/>
  <c r="H723" i="3"/>
  <c r="H724" i="3"/>
  <c r="H725" i="3"/>
  <c r="H726" i="3"/>
  <c r="H727" i="3"/>
  <c r="H728" i="3"/>
  <c r="H729" i="3"/>
  <c r="H730" i="3"/>
  <c r="H731" i="3"/>
  <c r="H732" i="3"/>
  <c r="H733" i="3"/>
  <c r="H734" i="3"/>
  <c r="H735" i="3"/>
  <c r="H736" i="3"/>
  <c r="H737" i="3"/>
  <c r="H738" i="3"/>
  <c r="H739" i="3"/>
  <c r="H740" i="3"/>
  <c r="H741" i="3"/>
  <c r="H742" i="3"/>
  <c r="H743" i="3"/>
  <c r="H744" i="3"/>
  <c r="H745" i="3"/>
  <c r="H746" i="3"/>
  <c r="H747" i="3"/>
  <c r="H748" i="3"/>
  <c r="H749" i="3"/>
  <c r="H750" i="3"/>
  <c r="H751" i="3"/>
  <c r="H752" i="3"/>
  <c r="H753" i="3"/>
  <c r="H754" i="3"/>
  <c r="H755" i="3"/>
  <c r="H756" i="3"/>
  <c r="H757" i="3"/>
  <c r="H758" i="3"/>
  <c r="H759" i="3"/>
  <c r="H760" i="3"/>
  <c r="H761" i="3"/>
  <c r="H762" i="3"/>
  <c r="H763" i="3"/>
  <c r="H764" i="3"/>
  <c r="H765" i="3"/>
  <c r="H766" i="3"/>
  <c r="H767" i="3"/>
  <c r="H768" i="3"/>
  <c r="H769" i="3"/>
  <c r="H770" i="3"/>
  <c r="H771" i="3"/>
  <c r="H772" i="3"/>
  <c r="H773" i="3"/>
  <c r="H774" i="3"/>
  <c r="H775" i="3"/>
  <c r="H776" i="3"/>
  <c r="H777" i="3"/>
  <c r="H778" i="3"/>
  <c r="H779" i="3"/>
  <c r="H780" i="3"/>
  <c r="H781" i="3"/>
  <c r="H782" i="3"/>
  <c r="H783" i="3"/>
  <c r="H784" i="3"/>
  <c r="H785" i="3"/>
  <c r="H786" i="3"/>
  <c r="H787" i="3"/>
  <c r="H788" i="3"/>
  <c r="H789" i="3"/>
  <c r="H790" i="3"/>
  <c r="H791" i="3"/>
  <c r="H792" i="3"/>
  <c r="H793" i="3"/>
  <c r="H794" i="3"/>
  <c r="H795" i="3"/>
  <c r="H796" i="3"/>
  <c r="H797" i="3"/>
  <c r="H798" i="3"/>
  <c r="H799" i="3"/>
  <c r="H800" i="3"/>
  <c r="H801" i="3"/>
  <c r="H802" i="3"/>
  <c r="H803" i="3"/>
  <c r="H804" i="3"/>
  <c r="H805" i="3"/>
  <c r="H806" i="3"/>
  <c r="H807" i="3"/>
  <c r="H591" i="3"/>
  <c r="H592" i="3"/>
  <c r="H593" i="3"/>
  <c r="H594" i="3"/>
  <c r="H595" i="3"/>
  <c r="I538" i="3"/>
  <c r="H583" i="3"/>
  <c r="H584" i="3"/>
  <c r="H585" i="3"/>
  <c r="H586" i="3"/>
  <c r="H587" i="3"/>
  <c r="H588" i="3"/>
  <c r="H589" i="3"/>
  <c r="H590" i="3"/>
  <c r="I590" i="3" s="1"/>
  <c r="C111" i="10"/>
  <c r="G111" i="10" s="1"/>
  <c r="C94" i="10"/>
  <c r="G94" i="10" s="1"/>
  <c r="D94" i="10"/>
  <c r="F94" i="10" s="1"/>
  <c r="A94" i="10"/>
  <c r="C141" i="10"/>
  <c r="G141" i="10" s="1"/>
  <c r="D141" i="10"/>
  <c r="F141" i="10" s="1"/>
  <c r="A141" i="10"/>
  <c r="C144" i="9"/>
  <c r="C144" i="10" s="1"/>
  <c r="C131" i="9"/>
  <c r="C127" i="9"/>
  <c r="C127" i="10" s="1"/>
  <c r="C100" i="10"/>
  <c r="G100" i="10" s="1"/>
  <c r="C98" i="10"/>
  <c r="G98" i="10" s="1"/>
  <c r="C34" i="9"/>
  <c r="C64" i="9"/>
  <c r="C65" i="10" s="1"/>
  <c r="C12" i="10"/>
  <c r="G12" i="10" s="1"/>
  <c r="D12" i="10"/>
  <c r="F12" i="10" s="1"/>
  <c r="A12" i="10"/>
  <c r="F197" i="10"/>
  <c r="C116" i="9"/>
  <c r="F164" i="10"/>
  <c r="D165" i="10"/>
  <c r="F165" i="10" s="1"/>
  <c r="A165" i="10"/>
  <c r="C45" i="9"/>
  <c r="C112" i="10"/>
  <c r="G112" i="10" s="1"/>
  <c r="C113" i="10"/>
  <c r="G113" i="10" s="1"/>
  <c r="D113" i="10"/>
  <c r="F113" i="10" s="1"/>
  <c r="A112" i="10"/>
  <c r="A113" i="10"/>
  <c r="H509" i="3"/>
  <c r="B87" i="10"/>
  <c r="C87" i="10"/>
  <c r="G87" i="10" s="1"/>
  <c r="D87" i="10"/>
  <c r="F87" i="10" s="1"/>
  <c r="G57" i="8"/>
  <c r="G56" i="8"/>
  <c r="G55" i="8"/>
  <c r="G54" i="8"/>
  <c r="G53" i="8"/>
  <c r="G52" i="8"/>
  <c r="G51" i="8"/>
  <c r="G50" i="8"/>
  <c r="G49" i="8"/>
  <c r="G48" i="8"/>
  <c r="G47" i="8"/>
  <c r="G46" i="8"/>
  <c r="G45" i="8"/>
  <c r="G44" i="8"/>
  <c r="G43" i="8"/>
  <c r="G39" i="8"/>
  <c r="G38" i="8"/>
  <c r="G37" i="8"/>
  <c r="G35" i="8"/>
  <c r="G34" i="8"/>
  <c r="G33" i="8"/>
  <c r="G32" i="8"/>
  <c r="G29" i="8"/>
  <c r="G28" i="8"/>
  <c r="G27" i="8"/>
  <c r="G26" i="8"/>
  <c r="G25" i="8"/>
  <c r="G18" i="8"/>
  <c r="G16" i="8"/>
  <c r="G14" i="8"/>
  <c r="G13" i="8"/>
  <c r="G12" i="8"/>
  <c r="G11" i="8"/>
  <c r="G7" i="8"/>
  <c r="G6" i="8"/>
  <c r="G5" i="8"/>
  <c r="G4" i="8"/>
  <c r="G3" i="8"/>
  <c r="C58" i="8"/>
  <c r="E58" i="8" s="1"/>
  <c r="C57" i="8"/>
  <c r="E57" i="8" s="1"/>
  <c r="C56" i="8"/>
  <c r="E56" i="8" s="1"/>
  <c r="C55" i="8"/>
  <c r="E55" i="8" s="1"/>
  <c r="C54" i="8"/>
  <c r="E54" i="8" s="1"/>
  <c r="C53" i="8"/>
  <c r="E53" i="8" s="1"/>
  <c r="C52" i="8"/>
  <c r="E52" i="8" s="1"/>
  <c r="C51" i="8"/>
  <c r="E51" i="8" s="1"/>
  <c r="C50" i="8"/>
  <c r="E50" i="8" s="1"/>
  <c r="C49" i="8"/>
  <c r="E49" i="8" s="1"/>
  <c r="C48" i="8"/>
  <c r="E48" i="8" s="1"/>
  <c r="C47" i="8"/>
  <c r="E47" i="8" s="1"/>
  <c r="C46" i="8"/>
  <c r="E46" i="8" s="1"/>
  <c r="C45" i="8"/>
  <c r="E45" i="8" s="1"/>
  <c r="C44" i="8"/>
  <c r="E44" i="8" s="1"/>
  <c r="C43" i="8"/>
  <c r="E43" i="8" s="1"/>
  <c r="E39" i="8"/>
  <c r="E38" i="8"/>
  <c r="E37" i="8"/>
  <c r="E35" i="8"/>
  <c r="E34" i="8"/>
  <c r="E33" i="8"/>
  <c r="E32" i="8"/>
  <c r="E29" i="8"/>
  <c r="E28" i="8"/>
  <c r="E27" i="8"/>
  <c r="E26" i="8"/>
  <c r="E25" i="8"/>
  <c r="E19" i="8"/>
  <c r="E18" i="8"/>
  <c r="E16" i="8"/>
  <c r="E14" i="8"/>
  <c r="E13" i="8"/>
  <c r="E12" i="8"/>
  <c r="E11" i="8"/>
  <c r="E10" i="8"/>
  <c r="E8" i="8"/>
  <c r="E7" i="8"/>
  <c r="E6" i="8"/>
  <c r="E5" i="8"/>
  <c r="E4" i="8"/>
  <c r="E3" i="8"/>
  <c r="H435" i="3"/>
  <c r="H436" i="3"/>
  <c r="H437" i="3"/>
  <c r="H438" i="3"/>
  <c r="H439" i="3"/>
  <c r="H440" i="3"/>
  <c r="H441" i="3"/>
  <c r="H442" i="3"/>
  <c r="H443" i="3"/>
  <c r="H444" i="3"/>
  <c r="H445" i="3"/>
  <c r="H446" i="3"/>
  <c r="H447" i="3"/>
  <c r="H448" i="3"/>
  <c r="H449" i="3"/>
  <c r="H450" i="3"/>
  <c r="H451" i="3"/>
  <c r="H452" i="3"/>
  <c r="H453" i="3"/>
  <c r="H454" i="3"/>
  <c r="H455" i="3"/>
  <c r="H456" i="3"/>
  <c r="H457" i="3"/>
  <c r="H458" i="3"/>
  <c r="H459" i="3"/>
  <c r="H460" i="3"/>
  <c r="H461" i="3"/>
  <c r="H462" i="3"/>
  <c r="H463" i="3"/>
  <c r="H464" i="3"/>
  <c r="H465" i="3"/>
  <c r="H466" i="3"/>
  <c r="H467" i="3"/>
  <c r="H468" i="3"/>
  <c r="H469" i="3"/>
  <c r="H470" i="3"/>
  <c r="H471" i="3"/>
  <c r="H472" i="3"/>
  <c r="H473" i="3"/>
  <c r="H474" i="3"/>
  <c r="H475" i="3"/>
  <c r="H476" i="3"/>
  <c r="H477" i="3"/>
  <c r="H478" i="3"/>
  <c r="H479" i="3"/>
  <c r="H480" i="3"/>
  <c r="H481" i="3"/>
  <c r="H482" i="3"/>
  <c r="H483" i="3"/>
  <c r="H484" i="3"/>
  <c r="H485" i="3"/>
  <c r="H486" i="3"/>
  <c r="H487" i="3"/>
  <c r="H488" i="3"/>
  <c r="H489" i="3"/>
  <c r="H490" i="3"/>
  <c r="H491" i="3"/>
  <c r="H492" i="3"/>
  <c r="H493" i="3"/>
  <c r="H494" i="3"/>
  <c r="H495" i="3"/>
  <c r="H496" i="3"/>
  <c r="H497" i="3"/>
  <c r="H498" i="3"/>
  <c r="H499" i="3"/>
  <c r="H500" i="3"/>
  <c r="H501" i="3"/>
  <c r="H502" i="3"/>
  <c r="H503" i="3"/>
  <c r="H504" i="3"/>
  <c r="H505" i="3"/>
  <c r="H506" i="3"/>
  <c r="H507" i="3"/>
  <c r="H508" i="3"/>
  <c r="H510" i="3"/>
  <c r="H511" i="3"/>
  <c r="H512" i="3"/>
  <c r="H513" i="3"/>
  <c r="H514" i="3"/>
  <c r="H515" i="3"/>
  <c r="H516" i="3"/>
  <c r="H517" i="3"/>
  <c r="H518" i="3"/>
  <c r="H519" i="3"/>
  <c r="H520" i="3"/>
  <c r="H521" i="3"/>
  <c r="H522" i="3"/>
  <c r="H523" i="3"/>
  <c r="H524" i="3"/>
  <c r="H525" i="3"/>
  <c r="H526" i="3"/>
  <c r="H527" i="3"/>
  <c r="I527" i="3" s="1"/>
  <c r="H528" i="3"/>
  <c r="H529" i="3"/>
  <c r="H530" i="3"/>
  <c r="H531" i="3"/>
  <c r="H532" i="3"/>
  <c r="H533" i="3"/>
  <c r="H534" i="3"/>
  <c r="H535" i="3"/>
  <c r="H536" i="3"/>
  <c r="H537" i="3"/>
  <c r="I537" i="3" s="1"/>
  <c r="H538" i="3"/>
  <c r="H539" i="3"/>
  <c r="H540" i="3"/>
  <c r="H541" i="3"/>
  <c r="H542" i="3"/>
  <c r="H543" i="3"/>
  <c r="H544" i="3"/>
  <c r="H545" i="3"/>
  <c r="H546" i="3"/>
  <c r="H547" i="3"/>
  <c r="H548" i="3"/>
  <c r="H549" i="3"/>
  <c r="H550" i="3"/>
  <c r="H551" i="3"/>
  <c r="H552" i="3"/>
  <c r="H553" i="3"/>
  <c r="H554" i="3"/>
  <c r="H555" i="3"/>
  <c r="H556" i="3"/>
  <c r="H557" i="3"/>
  <c r="H558" i="3"/>
  <c r="H559" i="3"/>
  <c r="H560" i="3"/>
  <c r="H561" i="3"/>
  <c r="H562" i="3"/>
  <c r="H563" i="3"/>
  <c r="H564" i="3"/>
  <c r="H565" i="3"/>
  <c r="H566" i="3"/>
  <c r="H567" i="3"/>
  <c r="H568" i="3"/>
  <c r="H569" i="3"/>
  <c r="H570" i="3"/>
  <c r="H571" i="3"/>
  <c r="H572" i="3"/>
  <c r="H573" i="3"/>
  <c r="H574" i="3"/>
  <c r="H575" i="3"/>
  <c r="H576" i="3"/>
  <c r="H577" i="3"/>
  <c r="H578" i="3"/>
  <c r="H579" i="3"/>
  <c r="H580" i="3"/>
  <c r="H581" i="3"/>
  <c r="H582" i="3"/>
  <c r="H422" i="3"/>
  <c r="H423" i="3"/>
  <c r="H424" i="3"/>
  <c r="H425" i="3"/>
  <c r="H426" i="3"/>
  <c r="H427" i="3"/>
  <c r="H428" i="3"/>
  <c r="H429" i="3"/>
  <c r="H430" i="3"/>
  <c r="H431" i="3"/>
  <c r="H432" i="3"/>
  <c r="H433" i="3"/>
  <c r="H434" i="3"/>
  <c r="H419" i="3"/>
  <c r="H420" i="3"/>
  <c r="H421" i="3"/>
  <c r="H418" i="3"/>
  <c r="H416" i="3"/>
  <c r="H414" i="3"/>
  <c r="H412" i="3"/>
  <c r="H411" i="3"/>
  <c r="H410" i="3"/>
  <c r="H408" i="3"/>
  <c r="H406" i="3"/>
  <c r="H404" i="3"/>
  <c r="H402" i="3"/>
  <c r="H400" i="3"/>
  <c r="H398" i="3"/>
  <c r="H396" i="3"/>
  <c r="C193" i="10"/>
  <c r="A193" i="10"/>
  <c r="B216" i="10"/>
  <c r="C216" i="10"/>
  <c r="D216" i="10"/>
  <c r="A216" i="10"/>
  <c r="B41" i="10"/>
  <c r="C41" i="10"/>
  <c r="D41" i="10"/>
  <c r="A41" i="10"/>
  <c r="D183" i="10"/>
  <c r="F183" i="10" s="1"/>
  <c r="A183" i="10"/>
  <c r="H394" i="3"/>
  <c r="H392" i="3"/>
  <c r="H390" i="3"/>
  <c r="H388" i="3"/>
  <c r="H386" i="3"/>
  <c r="B46" i="1"/>
  <c r="H384" i="3"/>
  <c r="H382" i="3"/>
  <c r="H380" i="3"/>
  <c r="H378" i="3"/>
  <c r="H376" i="3"/>
  <c r="H374" i="3"/>
  <c r="H372" i="3"/>
  <c r="H370" i="3"/>
  <c r="H368" i="3"/>
  <c r="H366" i="3"/>
  <c r="H364" i="3"/>
  <c r="H362" i="3"/>
  <c r="H360" i="3"/>
  <c r="H358" i="3"/>
  <c r="H356" i="3"/>
  <c r="H354" i="3"/>
  <c r="H352" i="3"/>
  <c r="H350" i="3"/>
  <c r="H348" i="3"/>
  <c r="H346" i="3"/>
  <c r="H344" i="3"/>
  <c r="H342" i="3"/>
  <c r="H340" i="3"/>
  <c r="H338" i="3"/>
  <c r="C13" i="9"/>
  <c r="C85" i="9"/>
  <c r="C197" i="9"/>
  <c r="C157" i="10"/>
  <c r="C166" i="9"/>
  <c r="C186" i="10"/>
  <c r="A186" i="10"/>
  <c r="C164" i="9"/>
  <c r="C81" i="9"/>
  <c r="C81" i="10" s="1"/>
  <c r="D79" i="10"/>
  <c r="A79" i="10"/>
  <c r="H336" i="3"/>
  <c r="H334" i="3"/>
  <c r="H332" i="3"/>
  <c r="H330" i="3"/>
  <c r="H328" i="3"/>
  <c r="H326" i="3"/>
  <c r="H322" i="3"/>
  <c r="H324" i="3"/>
  <c r="H320" i="3"/>
  <c r="H318" i="3"/>
  <c r="H316" i="3"/>
  <c r="H314" i="3"/>
  <c r="H312" i="3"/>
  <c r="H310" i="3"/>
  <c r="H308" i="3"/>
  <c r="H306" i="3"/>
  <c r="H304" i="3"/>
  <c r="H300" i="3"/>
  <c r="H302" i="3"/>
  <c r="H298" i="3"/>
  <c r="B197" i="10"/>
  <c r="D197" i="10"/>
  <c r="A197" i="10"/>
  <c r="C62" i="9"/>
  <c r="C145" i="9"/>
  <c r="C18" i="9"/>
  <c r="C188" i="9"/>
  <c r="H296" i="3"/>
  <c r="B166" i="10"/>
  <c r="D166" i="10"/>
  <c r="A166" i="10"/>
  <c r="B167" i="10"/>
  <c r="A167" i="10"/>
  <c r="H294" i="3"/>
  <c r="C211" i="10"/>
  <c r="D211" i="10"/>
  <c r="C208" i="10"/>
  <c r="D208" i="10"/>
  <c r="F208" i="10" s="1"/>
  <c r="A208" i="10"/>
  <c r="C191" i="10"/>
  <c r="G191" i="10" s="1"/>
  <c r="D191" i="10"/>
  <c r="F191" i="10" s="1"/>
  <c r="C192" i="10"/>
  <c r="G192" i="10" s="1"/>
  <c r="A191" i="10"/>
  <c r="A192" i="10"/>
  <c r="A185" i="10"/>
  <c r="C110" i="10"/>
  <c r="D110" i="10"/>
  <c r="A110" i="10"/>
  <c r="A195" i="10"/>
  <c r="C183" i="9"/>
  <c r="H292" i="3"/>
  <c r="C161" i="10"/>
  <c r="D161" i="10"/>
  <c r="F161" i="10" s="1"/>
  <c r="C162" i="10"/>
  <c r="A161" i="10"/>
  <c r="A162" i="10"/>
  <c r="C160" i="10"/>
  <c r="G160" i="10" s="1"/>
  <c r="D160" i="10"/>
  <c r="C163" i="10"/>
  <c r="D163" i="10"/>
  <c r="D219" i="10"/>
  <c r="D217" i="10"/>
  <c r="H290" i="3"/>
  <c r="H288" i="3"/>
  <c r="H286" i="3"/>
  <c r="H284" i="3"/>
  <c r="C217" i="10"/>
  <c r="G217" i="10" s="1"/>
  <c r="B217" i="10"/>
  <c r="F217" i="10"/>
  <c r="B219" i="10"/>
  <c r="F219" i="10"/>
  <c r="C219" i="9"/>
  <c r="C219" i="10" s="1"/>
  <c r="G219" i="10" s="1"/>
  <c r="C187" i="9"/>
  <c r="C188" i="10" s="1"/>
  <c r="G188" i="10" s="1"/>
  <c r="A124" i="10"/>
  <c r="B124" i="10"/>
  <c r="C124" i="10"/>
  <c r="D124" i="10"/>
  <c r="F124" i="10" s="1"/>
  <c r="B123" i="10"/>
  <c r="C123" i="10"/>
  <c r="D123" i="10"/>
  <c r="F123" i="10" s="1"/>
  <c r="A123" i="10"/>
  <c r="H280" i="3"/>
  <c r="H282" i="3"/>
  <c r="H278" i="3"/>
  <c r="H276" i="3"/>
  <c r="H274" i="3"/>
  <c r="H272" i="3"/>
  <c r="H270" i="3"/>
  <c r="H268" i="3"/>
  <c r="H266" i="3"/>
  <c r="H277" i="3"/>
  <c r="H279" i="3"/>
  <c r="H281" i="3"/>
  <c r="H283" i="3"/>
  <c r="H285" i="3"/>
  <c r="H287" i="3"/>
  <c r="H289" i="3"/>
  <c r="H291" i="3"/>
  <c r="H293" i="3"/>
  <c r="H295" i="3"/>
  <c r="H297" i="3"/>
  <c r="H299" i="3"/>
  <c r="H301" i="3"/>
  <c r="H303" i="3"/>
  <c r="H305" i="3"/>
  <c r="H307" i="3"/>
  <c r="H309" i="3"/>
  <c r="H311" i="3"/>
  <c r="H313" i="3"/>
  <c r="H315" i="3"/>
  <c r="H317" i="3"/>
  <c r="H319" i="3"/>
  <c r="H321" i="3"/>
  <c r="H323" i="3"/>
  <c r="H325" i="3"/>
  <c r="H327" i="3"/>
  <c r="H329" i="3"/>
  <c r="H331" i="3"/>
  <c r="H333" i="3"/>
  <c r="H335" i="3"/>
  <c r="H337" i="3"/>
  <c r="H339" i="3"/>
  <c r="H341" i="3"/>
  <c r="H343" i="3"/>
  <c r="H345" i="3"/>
  <c r="H347" i="3"/>
  <c r="H349" i="3"/>
  <c r="H351" i="3"/>
  <c r="H353" i="3"/>
  <c r="H355" i="3"/>
  <c r="H357" i="3"/>
  <c r="H359" i="3"/>
  <c r="H361" i="3"/>
  <c r="H363" i="3"/>
  <c r="H365" i="3"/>
  <c r="H367" i="3"/>
  <c r="H369" i="3"/>
  <c r="H371" i="3"/>
  <c r="H373" i="3"/>
  <c r="H375" i="3"/>
  <c r="H377" i="3"/>
  <c r="H379" i="3"/>
  <c r="H381" i="3"/>
  <c r="H383" i="3"/>
  <c r="H385" i="3"/>
  <c r="H387" i="3"/>
  <c r="H389" i="3"/>
  <c r="H391" i="3"/>
  <c r="H393" i="3"/>
  <c r="H395" i="3"/>
  <c r="H397" i="3"/>
  <c r="H399" i="3"/>
  <c r="H401" i="3"/>
  <c r="H403" i="3"/>
  <c r="H405" i="3"/>
  <c r="H407" i="3"/>
  <c r="H409" i="3"/>
  <c r="H413" i="3"/>
  <c r="H415" i="3"/>
  <c r="H417" i="3"/>
  <c r="H269" i="3"/>
  <c r="H271" i="3"/>
  <c r="H273" i="3"/>
  <c r="H275" i="3"/>
  <c r="C24" i="10"/>
  <c r="G24" i="10" s="1"/>
  <c r="A24" i="10"/>
  <c r="H257" i="3"/>
  <c r="H258" i="3"/>
  <c r="H259" i="3"/>
  <c r="H260" i="3"/>
  <c r="H261" i="3"/>
  <c r="H262" i="3"/>
  <c r="H263" i="3"/>
  <c r="H264" i="3"/>
  <c r="H265" i="3"/>
  <c r="H267" i="3"/>
  <c r="H252" i="3"/>
  <c r="H253" i="3"/>
  <c r="H254" i="3"/>
  <c r="H255" i="3"/>
  <c r="H256" i="3"/>
  <c r="H242" i="3"/>
  <c r="H243" i="3"/>
  <c r="H244" i="3"/>
  <c r="H245" i="3"/>
  <c r="H246" i="3"/>
  <c r="H247" i="3"/>
  <c r="H248" i="3"/>
  <c r="H249" i="3"/>
  <c r="H250" i="3"/>
  <c r="H251" i="3"/>
  <c r="H215" i="3"/>
  <c r="H216" i="3"/>
  <c r="H217" i="3"/>
  <c r="H218" i="3"/>
  <c r="H219" i="3"/>
  <c r="H220" i="3"/>
  <c r="H221" i="3"/>
  <c r="H222" i="3"/>
  <c r="H223" i="3"/>
  <c r="H224" i="3"/>
  <c r="H225" i="3"/>
  <c r="H226" i="3"/>
  <c r="H227" i="3"/>
  <c r="H228" i="3"/>
  <c r="H229" i="3"/>
  <c r="H230" i="3"/>
  <c r="H231" i="3"/>
  <c r="H232" i="3"/>
  <c r="H233" i="3"/>
  <c r="H234" i="3"/>
  <c r="H235" i="3"/>
  <c r="H236" i="3"/>
  <c r="H237" i="3"/>
  <c r="H238" i="3"/>
  <c r="H239" i="3"/>
  <c r="H240" i="3"/>
  <c r="H241" i="3"/>
  <c r="H213" i="3"/>
  <c r="H214" i="3"/>
  <c r="H206" i="3"/>
  <c r="H207" i="3"/>
  <c r="H208" i="3"/>
  <c r="H209" i="3"/>
  <c r="H210" i="3"/>
  <c r="H211" i="3"/>
  <c r="H212" i="3"/>
  <c r="C54" i="9"/>
  <c r="H200" i="3"/>
  <c r="H201" i="3"/>
  <c r="H202" i="3"/>
  <c r="H203" i="3"/>
  <c r="H204" i="3"/>
  <c r="H205" i="3"/>
  <c r="A188" i="10"/>
  <c r="B137" i="10"/>
  <c r="D137" i="10"/>
  <c r="F137" i="10" s="1"/>
  <c r="A137" i="10"/>
  <c r="A138" i="10"/>
  <c r="A184" i="10"/>
  <c r="B131" i="10"/>
  <c r="D131" i="10"/>
  <c r="F131" i="10" s="1"/>
  <c r="A131" i="10"/>
  <c r="B57" i="10"/>
  <c r="C57" i="10"/>
  <c r="D57" i="10"/>
  <c r="A57" i="10"/>
  <c r="B36" i="10"/>
  <c r="C36" i="10"/>
  <c r="G36" i="10" s="1"/>
  <c r="D36" i="10"/>
  <c r="A36" i="10"/>
  <c r="C77" i="9"/>
  <c r="H187" i="3"/>
  <c r="H188" i="3"/>
  <c r="H189" i="3"/>
  <c r="H190" i="3"/>
  <c r="H191" i="3"/>
  <c r="H192" i="3"/>
  <c r="H193" i="3"/>
  <c r="H194" i="3"/>
  <c r="H195" i="3"/>
  <c r="H196" i="3"/>
  <c r="H197" i="3"/>
  <c r="H198" i="3"/>
  <c r="H199" i="3"/>
  <c r="B105" i="10"/>
  <c r="C105" i="10"/>
  <c r="B104" i="10"/>
  <c r="H184" i="3"/>
  <c r="B91" i="10"/>
  <c r="D91" i="10"/>
  <c r="A91" i="10"/>
  <c r="B31" i="10"/>
  <c r="C31" i="10"/>
  <c r="D31" i="10"/>
  <c r="A31" i="10"/>
  <c r="B60" i="10"/>
  <c r="C60" i="10"/>
  <c r="D60" i="10"/>
  <c r="A60" i="10"/>
  <c r="B55" i="10"/>
  <c r="D55" i="10"/>
  <c r="B56" i="10"/>
  <c r="C56" i="10"/>
  <c r="D56" i="10"/>
  <c r="F56" i="10" s="1"/>
  <c r="A56" i="10"/>
  <c r="A55" i="10"/>
  <c r="B204" i="10"/>
  <c r="C204" i="10"/>
  <c r="D204" i="10"/>
  <c r="A204" i="10"/>
  <c r="B210" i="10"/>
  <c r="C210" i="10"/>
  <c r="D210" i="10"/>
  <c r="A210" i="10"/>
  <c r="H166" i="3"/>
  <c r="H167" i="3"/>
  <c r="H168" i="3"/>
  <c r="H169" i="3"/>
  <c r="H170" i="3"/>
  <c r="H171" i="3"/>
  <c r="H172" i="3"/>
  <c r="H173" i="3"/>
  <c r="H165" i="3"/>
  <c r="I165" i="3" s="1"/>
  <c r="H175" i="3"/>
  <c r="H176" i="3"/>
  <c r="H177" i="3"/>
  <c r="H178" i="3"/>
  <c r="H179" i="3"/>
  <c r="H180" i="3"/>
  <c r="H182" i="3"/>
  <c r="H183" i="3"/>
  <c r="H181" i="3"/>
  <c r="H185" i="3"/>
  <c r="H186" i="3"/>
  <c r="C139" i="9"/>
  <c r="B188" i="10"/>
  <c r="D188" i="10"/>
  <c r="F188" i="10" s="1"/>
  <c r="A160" i="10"/>
  <c r="C13" i="10"/>
  <c r="G13" i="10" s="1"/>
  <c r="B109" i="10"/>
  <c r="C109" i="10"/>
  <c r="D109" i="10"/>
  <c r="F109" i="10" s="1"/>
  <c r="A109" i="10"/>
  <c r="H68" i="3"/>
  <c r="H120" i="3"/>
  <c r="A196" i="10"/>
  <c r="B194" i="10"/>
  <c r="C194" i="10"/>
  <c r="G194" i="10" s="1"/>
  <c r="B196" i="10"/>
  <c r="A194" i="10"/>
  <c r="A189" i="10"/>
  <c r="B34" i="10"/>
  <c r="D34" i="10"/>
  <c r="A34" i="10"/>
  <c r="B89" i="10"/>
  <c r="C89" i="10"/>
  <c r="D89" i="10"/>
  <c r="A89" i="10"/>
  <c r="A64" i="10"/>
  <c r="B50" i="10"/>
  <c r="C50" i="10"/>
  <c r="G50" i="10" s="1"/>
  <c r="D50" i="10"/>
  <c r="F50" i="10" s="1"/>
  <c r="A50" i="10"/>
  <c r="B72" i="10"/>
  <c r="C72" i="10"/>
  <c r="D72" i="10"/>
  <c r="A72" i="10"/>
  <c r="B163" i="10"/>
  <c r="A163" i="10"/>
  <c r="B18" i="10"/>
  <c r="C18" i="10"/>
  <c r="B20" i="10"/>
  <c r="C20" i="10"/>
  <c r="A20" i="10"/>
  <c r="A18" i="10"/>
  <c r="D18" i="9"/>
  <c r="D18" i="10" s="1"/>
  <c r="D20" i="9"/>
  <c r="B47" i="10"/>
  <c r="A47" i="10"/>
  <c r="D48" i="10"/>
  <c r="C23" i="10"/>
  <c r="A23" i="10"/>
  <c r="D24" i="9"/>
  <c r="D24" i="10" s="1"/>
  <c r="F24" i="10" s="1"/>
  <c r="C180" i="10"/>
  <c r="G180" i="10" s="1"/>
  <c r="A180" i="10"/>
  <c r="D184" i="9"/>
  <c r="B85" i="10"/>
  <c r="A85" i="10"/>
  <c r="D85" i="9"/>
  <c r="H174" i="3"/>
  <c r="D192" i="9"/>
  <c r="D193" i="10" s="1"/>
  <c r="F193" i="10" s="1"/>
  <c r="A63" i="10"/>
  <c r="H164" i="3"/>
  <c r="D63" i="10"/>
  <c r="F63" i="10" s="1"/>
  <c r="B101" i="10"/>
  <c r="C101" i="10"/>
  <c r="G101" i="10" s="1"/>
  <c r="A101" i="10"/>
  <c r="D101" i="9"/>
  <c r="B43" i="10"/>
  <c r="C43" i="10"/>
  <c r="G43" i="10" s="1"/>
  <c r="A43" i="10"/>
  <c r="D43" i="9"/>
  <c r="B139" i="10"/>
  <c r="A139" i="10"/>
  <c r="D138" i="10"/>
  <c r="F138" i="10" s="1"/>
  <c r="C177" i="10"/>
  <c r="G177" i="10" s="1"/>
  <c r="B65" i="10"/>
  <c r="B66" i="10"/>
  <c r="C66" i="10"/>
  <c r="A66" i="10"/>
  <c r="A65" i="10"/>
  <c r="D66" i="9"/>
  <c r="D67" i="10" s="1"/>
  <c r="F67" i="10" s="1"/>
  <c r="D65" i="9"/>
  <c r="D103" i="9"/>
  <c r="D105" i="10" s="1"/>
  <c r="B83" i="10"/>
  <c r="C83" i="10"/>
  <c r="G83" i="10" s="1"/>
  <c r="B164" i="10"/>
  <c r="C164" i="10"/>
  <c r="A164" i="10"/>
  <c r="D167" i="9"/>
  <c r="B62" i="10"/>
  <c r="C62" i="10"/>
  <c r="D62" i="10"/>
  <c r="F62" i="10" s="1"/>
  <c r="A62" i="10"/>
  <c r="D97" i="9"/>
  <c r="D100" i="10" s="1"/>
  <c r="F100" i="10" s="1"/>
  <c r="D96" i="9"/>
  <c r="D95" i="10" s="1"/>
  <c r="B96" i="10"/>
  <c r="C96" i="10"/>
  <c r="G96" i="10" s="1"/>
  <c r="D96" i="10"/>
  <c r="F96" i="10" s="1"/>
  <c r="B97" i="10"/>
  <c r="C97" i="10"/>
  <c r="D97" i="10"/>
  <c r="F97" i="10" s="1"/>
  <c r="B98" i="10"/>
  <c r="D98" i="10"/>
  <c r="B81" i="10"/>
  <c r="A81" i="10"/>
  <c r="D81" i="9"/>
  <c r="B102" i="10"/>
  <c r="C102" i="10"/>
  <c r="G102" i="10" s="1"/>
  <c r="B111" i="10"/>
  <c r="A111" i="10"/>
  <c r="D78" i="10"/>
  <c r="F78" i="10" s="1"/>
  <c r="B78" i="10"/>
  <c r="H161" i="3"/>
  <c r="H162" i="3"/>
  <c r="H163" i="3"/>
  <c r="H153" i="3"/>
  <c r="H154" i="3"/>
  <c r="H155" i="3"/>
  <c r="H156" i="3"/>
  <c r="H157" i="3"/>
  <c r="H158" i="3"/>
  <c r="H159" i="3"/>
  <c r="H160" i="3"/>
  <c r="H152" i="3"/>
  <c r="H151" i="3"/>
  <c r="H150" i="3"/>
  <c r="H149" i="3"/>
  <c r="H148" i="3"/>
  <c r="H147" i="3"/>
  <c r="H146" i="3"/>
  <c r="H145" i="3"/>
  <c r="H144" i="3"/>
  <c r="H143" i="3"/>
  <c r="H142" i="3"/>
  <c r="H141" i="3"/>
  <c r="H140" i="3"/>
  <c r="H139" i="3"/>
  <c r="H138" i="3"/>
  <c r="H137" i="3"/>
  <c r="H136" i="3"/>
  <c r="H135" i="3"/>
  <c r="H134" i="3"/>
  <c r="H133" i="3"/>
  <c r="H132" i="3"/>
  <c r="H131" i="3"/>
  <c r="H130" i="3"/>
  <c r="H129" i="3"/>
  <c r="H128" i="3"/>
  <c r="H127" i="3"/>
  <c r="H126" i="3"/>
  <c r="H111" i="3"/>
  <c r="H110" i="3"/>
  <c r="H102" i="3"/>
  <c r="H103" i="3"/>
  <c r="H104" i="3"/>
  <c r="H105" i="3"/>
  <c r="H106" i="3"/>
  <c r="H107" i="3"/>
  <c r="H122" i="3"/>
  <c r="H123" i="3"/>
  <c r="H124" i="3"/>
  <c r="H125" i="3"/>
  <c r="H101" i="3"/>
  <c r="H108" i="3"/>
  <c r="H109" i="3"/>
  <c r="H112" i="3"/>
  <c r="H113" i="3"/>
  <c r="H114" i="3"/>
  <c r="H115" i="3"/>
  <c r="H116" i="3"/>
  <c r="H117" i="3"/>
  <c r="H118" i="3"/>
  <c r="H119" i="3"/>
  <c r="H121" i="3"/>
  <c r="H100" i="3"/>
  <c r="H90" i="3"/>
  <c r="H94" i="3"/>
  <c r="H95" i="3"/>
  <c r="H96" i="3"/>
  <c r="H97" i="3"/>
  <c r="H98" i="3"/>
  <c r="H99" i="3"/>
  <c r="H93" i="3"/>
  <c r="H82" i="3"/>
  <c r="H83" i="3"/>
  <c r="H84" i="3"/>
  <c r="H85" i="3"/>
  <c r="H86" i="3"/>
  <c r="H87" i="3"/>
  <c r="H88" i="3"/>
  <c r="H89" i="3"/>
  <c r="H91" i="3"/>
  <c r="H92" i="3"/>
  <c r="H77" i="3"/>
  <c r="H78" i="3"/>
  <c r="H79" i="3"/>
  <c r="H80" i="3"/>
  <c r="H81" i="3"/>
  <c r="H47" i="3"/>
  <c r="H48" i="3"/>
  <c r="H49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63" i="3"/>
  <c r="H64" i="3"/>
  <c r="H65" i="3"/>
  <c r="H66" i="3"/>
  <c r="H67" i="3"/>
  <c r="H69" i="3"/>
  <c r="H70" i="3"/>
  <c r="H71" i="3"/>
  <c r="H72" i="3"/>
  <c r="H73" i="3"/>
  <c r="H74" i="3"/>
  <c r="H75" i="3"/>
  <c r="H76" i="3"/>
  <c r="B67" i="10"/>
  <c r="C67" i="10"/>
  <c r="H38" i="3"/>
  <c r="H39" i="3"/>
  <c r="H40" i="3"/>
  <c r="H41" i="3"/>
  <c r="H42" i="3"/>
  <c r="H43" i="3"/>
  <c r="H44" i="3"/>
  <c r="H45" i="3"/>
  <c r="H46" i="3"/>
  <c r="B198" i="10"/>
  <c r="B14" i="10"/>
  <c r="C14" i="10"/>
  <c r="D14" i="10"/>
  <c r="D150" i="10"/>
  <c r="D152" i="10"/>
  <c r="B48" i="10"/>
  <c r="B9" i="10"/>
  <c r="C10" i="10"/>
  <c r="B10" i="10"/>
  <c r="D175" i="10"/>
  <c r="C175" i="10"/>
  <c r="B175" i="10"/>
  <c r="F238" i="10"/>
  <c r="F239" i="10"/>
  <c r="F240" i="10"/>
  <c r="F241" i="10"/>
  <c r="F242" i="10"/>
  <c r="F243" i="10"/>
  <c r="F244" i="10"/>
  <c r="F245" i="10"/>
  <c r="F246" i="10"/>
  <c r="F247" i="10"/>
  <c r="F248" i="10"/>
  <c r="F249" i="10"/>
  <c r="F250" i="10"/>
  <c r="F251" i="10"/>
  <c r="F252" i="10"/>
  <c r="F253" i="10"/>
  <c r="F254" i="10"/>
  <c r="F255" i="10"/>
  <c r="F256" i="10"/>
  <c r="F257" i="10"/>
  <c r="F258" i="10"/>
  <c r="F259" i="10"/>
  <c r="F260" i="10"/>
  <c r="F261" i="10"/>
  <c r="F262" i="10"/>
  <c r="F263" i="10"/>
  <c r="F264" i="10"/>
  <c r="F265" i="10"/>
  <c r="F266" i="10"/>
  <c r="F267" i="10"/>
  <c r="F268" i="10"/>
  <c r="F269" i="10"/>
  <c r="F270" i="10"/>
  <c r="F271" i="10"/>
  <c r="F272" i="10"/>
  <c r="F273" i="10"/>
  <c r="F274" i="10"/>
  <c r="F275" i="10"/>
  <c r="F276" i="10"/>
  <c r="F277" i="10"/>
  <c r="F278" i="10"/>
  <c r="F279" i="10"/>
  <c r="F280" i="10"/>
  <c r="F281" i="10"/>
  <c r="F282" i="10"/>
  <c r="F283" i="10"/>
  <c r="F284" i="10"/>
  <c r="F285" i="10"/>
  <c r="F286" i="10"/>
  <c r="F287" i="10"/>
  <c r="F288" i="10"/>
  <c r="F289" i="10"/>
  <c r="F290" i="10"/>
  <c r="F291" i="10"/>
  <c r="F292" i="10"/>
  <c r="F293" i="10"/>
  <c r="F294" i="10"/>
  <c r="F295" i="10"/>
  <c r="F296" i="10"/>
  <c r="F297" i="10"/>
  <c r="F298" i="10"/>
  <c r="F299" i="10"/>
  <c r="F300" i="10"/>
  <c r="F301" i="10"/>
  <c r="F302" i="10"/>
  <c r="F303" i="10"/>
  <c r="F304" i="10"/>
  <c r="F305" i="10"/>
  <c r="F306" i="10"/>
  <c r="F307" i="10"/>
  <c r="F308" i="10"/>
  <c r="F309" i="10"/>
  <c r="F310" i="10"/>
  <c r="F311" i="10"/>
  <c r="F312" i="10"/>
  <c r="F313" i="10"/>
  <c r="F314" i="10"/>
  <c r="F315" i="10"/>
  <c r="F316" i="10"/>
  <c r="F317" i="10"/>
  <c r="D4" i="10"/>
  <c r="D5" i="10"/>
  <c r="D6" i="10"/>
  <c r="D7" i="10"/>
  <c r="D8" i="10"/>
  <c r="D9" i="10"/>
  <c r="D10" i="10"/>
  <c r="D11" i="10"/>
  <c r="D13" i="10"/>
  <c r="F13" i="10" s="1"/>
  <c r="D15" i="10"/>
  <c r="D16" i="10"/>
  <c r="D17" i="10"/>
  <c r="D22" i="10"/>
  <c r="D26" i="10"/>
  <c r="F26" i="10" s="1"/>
  <c r="D27" i="10"/>
  <c r="D28" i="10"/>
  <c r="D29" i="10"/>
  <c r="D32" i="10"/>
  <c r="D33" i="10"/>
  <c r="D35" i="10"/>
  <c r="D37" i="10"/>
  <c r="D38" i="10"/>
  <c r="D45" i="10"/>
  <c r="D49" i="10"/>
  <c r="D51" i="10"/>
  <c r="D52" i="10"/>
  <c r="D53" i="10"/>
  <c r="D54" i="10"/>
  <c r="F54" i="10" s="1"/>
  <c r="D58" i="10"/>
  <c r="D59" i="10"/>
  <c r="F59" i="10" s="1"/>
  <c r="D61" i="10"/>
  <c r="D71" i="10"/>
  <c r="D73" i="10"/>
  <c r="F73" i="10" s="1"/>
  <c r="D76" i="10"/>
  <c r="D77" i="10"/>
  <c r="F77" i="10" s="1"/>
  <c r="D93" i="10"/>
  <c r="D118" i="10"/>
  <c r="D119" i="10"/>
  <c r="F119" i="10" s="1"/>
  <c r="D120" i="10"/>
  <c r="D121" i="10"/>
  <c r="D122" i="10"/>
  <c r="D125" i="10"/>
  <c r="D126" i="10"/>
  <c r="F126" i="10" s="1"/>
  <c r="D127" i="10"/>
  <c r="D129" i="10"/>
  <c r="D130" i="10"/>
  <c r="D132" i="10"/>
  <c r="D133" i="10"/>
  <c r="F133" i="10" s="1"/>
  <c r="D134" i="10"/>
  <c r="F134" i="10" s="1"/>
  <c r="D135" i="10"/>
  <c r="D136" i="10"/>
  <c r="F136" i="10" s="1"/>
  <c r="D142" i="10"/>
  <c r="D143" i="10"/>
  <c r="D144" i="10"/>
  <c r="D145" i="10"/>
  <c r="D146" i="10"/>
  <c r="D147" i="10"/>
  <c r="F147" i="10" s="1"/>
  <c r="D149" i="10"/>
  <c r="F149" i="10" s="1"/>
  <c r="D151" i="10"/>
  <c r="F151" i="10" s="1"/>
  <c r="D153" i="10"/>
  <c r="D154" i="10"/>
  <c r="F154" i="10" s="1"/>
  <c r="D155" i="10"/>
  <c r="D156" i="10"/>
  <c r="D157" i="10"/>
  <c r="F157" i="10" s="1"/>
  <c r="D170" i="10"/>
  <c r="D171" i="10"/>
  <c r="D172" i="10"/>
  <c r="D173" i="10"/>
  <c r="D174" i="10"/>
  <c r="F174" i="10" s="1"/>
  <c r="D176" i="10"/>
  <c r="D177" i="10"/>
  <c r="F177" i="10" s="1"/>
  <c r="D178" i="10"/>
  <c r="D200" i="10"/>
  <c r="F200" i="10" s="1"/>
  <c r="D201" i="10"/>
  <c r="F201" i="10" s="1"/>
  <c r="D202" i="10"/>
  <c r="F202" i="10" s="1"/>
  <c r="D203" i="10"/>
  <c r="F203" i="10" s="1"/>
  <c r="D205" i="10"/>
  <c r="D206" i="10"/>
  <c r="D209" i="10"/>
  <c r="D212" i="10"/>
  <c r="F212" i="10" s="1"/>
  <c r="D214" i="10"/>
  <c r="F214" i="10" s="1"/>
  <c r="D215" i="10"/>
  <c r="F215" i="10" s="1"/>
  <c r="D221" i="10"/>
  <c r="F221" i="10" s="1"/>
  <c r="D222" i="10"/>
  <c r="F222" i="10" s="1"/>
  <c r="D223" i="10"/>
  <c r="F223" i="10" s="1"/>
  <c r="D224" i="10"/>
  <c r="F224" i="10" s="1"/>
  <c r="D225" i="10"/>
  <c r="F225" i="10" s="1"/>
  <c r="D226" i="10"/>
  <c r="F226" i="10" s="1"/>
  <c r="D227" i="10"/>
  <c r="F227" i="10" s="1"/>
  <c r="D228" i="10"/>
  <c r="F228" i="10" s="1"/>
  <c r="D229" i="10"/>
  <c r="F229" i="10" s="1"/>
  <c r="D230" i="10"/>
  <c r="F230" i="10" s="1"/>
  <c r="D231" i="10"/>
  <c r="F231" i="10" s="1"/>
  <c r="D232" i="10"/>
  <c r="D233" i="10"/>
  <c r="F233" i="10" s="1"/>
  <c r="D234" i="10"/>
  <c r="F234" i="10" s="1"/>
  <c r="D235" i="10"/>
  <c r="F235" i="10" s="1"/>
  <c r="D236" i="10"/>
  <c r="F236" i="10" s="1"/>
  <c r="D237" i="10"/>
  <c r="F237" i="10" s="1"/>
  <c r="D3" i="10"/>
  <c r="F3" i="10" s="1"/>
  <c r="C4" i="10"/>
  <c r="G4" i="10" s="1"/>
  <c r="C5" i="10"/>
  <c r="C6" i="10"/>
  <c r="C7" i="10"/>
  <c r="C8" i="10"/>
  <c r="G8" i="10" s="1"/>
  <c r="C9" i="10"/>
  <c r="C11" i="10"/>
  <c r="G11" i="10" s="1"/>
  <c r="C15" i="10"/>
  <c r="C16" i="10"/>
  <c r="C17" i="10"/>
  <c r="C21" i="10"/>
  <c r="G21" i="10" s="1"/>
  <c r="C22" i="10"/>
  <c r="C25" i="10"/>
  <c r="G25" i="10" s="1"/>
  <c r="C26" i="10"/>
  <c r="G26" i="10" s="1"/>
  <c r="C27" i="10"/>
  <c r="G193" i="10" s="1"/>
  <c r="C28" i="10"/>
  <c r="C29" i="10"/>
  <c r="C32" i="10"/>
  <c r="C33" i="10"/>
  <c r="C37" i="10"/>
  <c r="C38" i="10"/>
  <c r="C44" i="10"/>
  <c r="G44" i="10" s="1"/>
  <c r="C49" i="10"/>
  <c r="C51" i="10"/>
  <c r="C52" i="10"/>
  <c r="C53" i="10"/>
  <c r="C58" i="10"/>
  <c r="C59" i="10"/>
  <c r="G59" i="10" s="1"/>
  <c r="C61" i="10"/>
  <c r="C71" i="10"/>
  <c r="C73" i="10"/>
  <c r="G73" i="10" s="1"/>
  <c r="C76" i="10"/>
  <c r="C92" i="10"/>
  <c r="C93" i="10"/>
  <c r="G93" i="10" s="1"/>
  <c r="C86" i="10"/>
  <c r="C95" i="10"/>
  <c r="C103" i="10"/>
  <c r="C104" i="10"/>
  <c r="C108" i="10"/>
  <c r="C118" i="10"/>
  <c r="C119" i="10"/>
  <c r="G119" i="10" s="1"/>
  <c r="C120" i="10"/>
  <c r="C121" i="10"/>
  <c r="C122" i="10"/>
  <c r="G122" i="10" s="1"/>
  <c r="C125" i="10"/>
  <c r="C126" i="10"/>
  <c r="G126" i="10" s="1"/>
  <c r="C129" i="10"/>
  <c r="C130" i="10"/>
  <c r="C133" i="10"/>
  <c r="G133" i="10" s="1"/>
  <c r="C134" i="10"/>
  <c r="G134" i="10" s="1"/>
  <c r="C135" i="10"/>
  <c r="C138" i="10"/>
  <c r="G138" i="10" s="1"/>
  <c r="C142" i="10"/>
  <c r="C143" i="10"/>
  <c r="C147" i="10"/>
  <c r="C149" i="10"/>
  <c r="G149" i="10" s="1"/>
  <c r="C150" i="10"/>
  <c r="G150" i="10" s="1"/>
  <c r="C151" i="10"/>
  <c r="C152" i="10"/>
  <c r="G152" i="10" s="1"/>
  <c r="C153" i="10"/>
  <c r="G153" i="10" s="1"/>
  <c r="C154" i="10"/>
  <c r="G154" i="10" s="1"/>
  <c r="C155" i="10"/>
  <c r="G155" i="10" s="1"/>
  <c r="C156" i="10"/>
  <c r="G156" i="10" s="1"/>
  <c r="C159" i="10"/>
  <c r="G159" i="10" s="1"/>
  <c r="C168" i="10"/>
  <c r="G168" i="10" s="1"/>
  <c r="C170" i="10"/>
  <c r="G170" i="10" s="1"/>
  <c r="C171" i="10"/>
  <c r="G171" i="10" s="1"/>
  <c r="C172" i="10"/>
  <c r="G172" i="10" s="1"/>
  <c r="C173" i="10"/>
  <c r="G173" i="10" s="1"/>
  <c r="C174" i="10"/>
  <c r="G174" i="10" s="1"/>
  <c r="C176" i="10"/>
  <c r="C178" i="10"/>
  <c r="G178" i="10" s="1"/>
  <c r="C179" i="10"/>
  <c r="G179" i="10" s="1"/>
  <c r="C187" i="10"/>
  <c r="G187" i="10" s="1"/>
  <c r="C200" i="10"/>
  <c r="G200" i="10" s="1"/>
  <c r="C201" i="10"/>
  <c r="G201" i="10" s="1"/>
  <c r="C202" i="10"/>
  <c r="G202" i="10" s="1"/>
  <c r="C203" i="10"/>
  <c r="G203" i="10" s="1"/>
  <c r="C205" i="10"/>
  <c r="G205" i="10" s="1"/>
  <c r="C206" i="10"/>
  <c r="G206" i="10" s="1"/>
  <c r="C209" i="10"/>
  <c r="G209" i="10" s="1"/>
  <c r="C212" i="10"/>
  <c r="G212" i="10" s="1"/>
  <c r="C214" i="10"/>
  <c r="G214" i="10" s="1"/>
  <c r="C215" i="10"/>
  <c r="G215" i="10" s="1"/>
  <c r="C221" i="10"/>
  <c r="G221" i="10" s="1"/>
  <c r="C222" i="10"/>
  <c r="G222" i="10" s="1"/>
  <c r="C223" i="10"/>
  <c r="G223" i="10" s="1"/>
  <c r="C224" i="10"/>
  <c r="G224" i="10" s="1"/>
  <c r="C225" i="10"/>
  <c r="G225" i="10" s="1"/>
  <c r="C226" i="10"/>
  <c r="G226" i="10" s="1"/>
  <c r="C227" i="10"/>
  <c r="G227" i="10" s="1"/>
  <c r="C228" i="10"/>
  <c r="G228" i="10" s="1"/>
  <c r="C229" i="10"/>
  <c r="G229" i="10" s="1"/>
  <c r="C230" i="10"/>
  <c r="G230" i="10" s="1"/>
  <c r="C231" i="10"/>
  <c r="G231" i="10" s="1"/>
  <c r="C232" i="10"/>
  <c r="C233" i="10"/>
  <c r="C234" i="10"/>
  <c r="C235" i="10"/>
  <c r="C236" i="10"/>
  <c r="C237" i="10"/>
  <c r="C3" i="10"/>
  <c r="G3" i="10" s="1"/>
  <c r="B4" i="10"/>
  <c r="B5" i="10"/>
  <c r="B6" i="10"/>
  <c r="B7" i="10"/>
  <c r="B8" i="10"/>
  <c r="B11" i="10"/>
  <c r="B13" i="10"/>
  <c r="B15" i="10"/>
  <c r="B16" i="10"/>
  <c r="B17" i="10"/>
  <c r="B21" i="10"/>
  <c r="B22" i="10"/>
  <c r="B25" i="10"/>
  <c r="B26" i="10"/>
  <c r="B27" i="10"/>
  <c r="B28" i="10"/>
  <c r="B29" i="10"/>
  <c r="B32" i="10"/>
  <c r="B33" i="10"/>
  <c r="B35" i="10"/>
  <c r="B37" i="10"/>
  <c r="B38" i="10"/>
  <c r="B44" i="10"/>
  <c r="B45" i="10"/>
  <c r="B46" i="10"/>
  <c r="B49" i="10"/>
  <c r="B51" i="10"/>
  <c r="B52" i="10"/>
  <c r="B53" i="10"/>
  <c r="B54" i="10"/>
  <c r="B58" i="10"/>
  <c r="B59" i="10"/>
  <c r="B61" i="10"/>
  <c r="B71" i="10"/>
  <c r="B73" i="10"/>
  <c r="B76" i="10"/>
  <c r="B77" i="10"/>
  <c r="B92" i="10"/>
  <c r="B93" i="10"/>
  <c r="B86" i="10"/>
  <c r="B95" i="10"/>
  <c r="B103" i="10"/>
  <c r="B108" i="10"/>
  <c r="B116" i="10"/>
  <c r="B117" i="10"/>
  <c r="B118" i="10"/>
  <c r="B119" i="10"/>
  <c r="B120" i="10"/>
  <c r="B121" i="10"/>
  <c r="B122" i="10"/>
  <c r="B125" i="10"/>
  <c r="B126" i="10"/>
  <c r="B127" i="10"/>
  <c r="B129" i="10"/>
  <c r="B130" i="10"/>
  <c r="B132" i="10"/>
  <c r="B133" i="10"/>
  <c r="B134" i="10"/>
  <c r="B135" i="10"/>
  <c r="B136" i="10"/>
  <c r="B138" i="10"/>
  <c r="B140" i="10"/>
  <c r="B142" i="10"/>
  <c r="B143" i="10"/>
  <c r="B144" i="10"/>
  <c r="B145" i="10"/>
  <c r="B146" i="10"/>
  <c r="B147" i="10"/>
  <c r="B149" i="10"/>
  <c r="B150" i="10"/>
  <c r="B151" i="10"/>
  <c r="B152" i="10"/>
  <c r="B153" i="10"/>
  <c r="B154" i="10"/>
  <c r="B155" i="10"/>
  <c r="B156" i="10"/>
  <c r="B157" i="10"/>
  <c r="B159" i="10"/>
  <c r="B168" i="10"/>
  <c r="B170" i="10"/>
  <c r="B171" i="10"/>
  <c r="B172" i="10"/>
  <c r="B173" i="10"/>
  <c r="B174" i="10"/>
  <c r="B176" i="10"/>
  <c r="B177" i="10"/>
  <c r="B178" i="10"/>
  <c r="B179" i="10"/>
  <c r="B187" i="10"/>
  <c r="B200" i="10"/>
  <c r="B201" i="10"/>
  <c r="B202" i="10"/>
  <c r="B203" i="10"/>
  <c r="B205" i="10"/>
  <c r="B206" i="10"/>
  <c r="B209" i="10"/>
  <c r="B212" i="10"/>
  <c r="B214" i="10"/>
  <c r="B215" i="10"/>
  <c r="B221" i="10"/>
  <c r="B222" i="10"/>
  <c r="B223" i="10"/>
  <c r="B224" i="10"/>
  <c r="B225" i="10"/>
  <c r="B226" i="10"/>
  <c r="B227" i="10"/>
  <c r="B228" i="10"/>
  <c r="B229" i="10"/>
  <c r="B230" i="10"/>
  <c r="B231" i="10"/>
  <c r="B232" i="10"/>
  <c r="B233" i="10"/>
  <c r="B234" i="10"/>
  <c r="B235" i="10"/>
  <c r="B236" i="10"/>
  <c r="B237" i="10"/>
  <c r="B3" i="10"/>
  <c r="F319" i="10"/>
  <c r="F318" i="10"/>
  <c r="H20" i="3"/>
  <c r="D3" i="7"/>
  <c r="D4" i="7"/>
  <c r="D5" i="7"/>
  <c r="D6" i="7"/>
  <c r="H6" i="3"/>
  <c r="H3" i="3"/>
  <c r="H4" i="3"/>
  <c r="I4" i="3" s="1"/>
  <c r="H5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2" i="3"/>
  <c r="B4" i="1"/>
  <c r="E4" i="1" s="1"/>
  <c r="I617" i="3" l="1"/>
  <c r="I599" i="3"/>
  <c r="C79" i="10"/>
  <c r="G79" i="10" s="1"/>
  <c r="C47" i="10"/>
  <c r="G47" i="10" s="1"/>
  <c r="C48" i="10"/>
  <c r="C184" i="10"/>
  <c r="G184" i="10" s="1"/>
  <c r="C132" i="10"/>
  <c r="C131" i="10"/>
  <c r="G131" i="10" s="1"/>
  <c r="C117" i="10"/>
  <c r="C116" i="10"/>
  <c r="C34" i="10"/>
  <c r="C35" i="10"/>
  <c r="C45" i="10"/>
  <c r="C46" i="10"/>
  <c r="D83" i="10"/>
  <c r="F83" i="10" s="1"/>
  <c r="D82" i="10"/>
  <c r="F82" i="10" s="1"/>
  <c r="I393" i="3"/>
  <c r="I377" i="3"/>
  <c r="C85" i="10"/>
  <c r="G85" i="10" s="1"/>
  <c r="C189" i="10"/>
  <c r="G189" i="10" s="1"/>
  <c r="C196" i="10"/>
  <c r="C195" i="10"/>
  <c r="G195" i="10" s="1"/>
  <c r="I566" i="3"/>
  <c r="I504" i="3"/>
  <c r="I528" i="3"/>
  <c r="I317" i="3"/>
  <c r="I395" i="3"/>
  <c r="I439" i="3"/>
  <c r="I448" i="3"/>
  <c r="I477" i="3"/>
  <c r="I425" i="3"/>
  <c r="C198" i="10"/>
  <c r="C197" i="10"/>
  <c r="C166" i="10"/>
  <c r="C165" i="10"/>
  <c r="G165" i="10" s="1"/>
  <c r="D20" i="10"/>
  <c r="F20" i="10" s="1"/>
  <c r="D21" i="10"/>
  <c r="D108" i="10"/>
  <c r="F108" i="10" s="1"/>
  <c r="D112" i="10"/>
  <c r="F112" i="10" s="1"/>
  <c r="C167" i="10"/>
  <c r="G167" i="10" s="1"/>
  <c r="C183" i="10"/>
  <c r="G183" i="10" s="1"/>
  <c r="C185" i="10"/>
  <c r="G185" i="10" s="1"/>
  <c r="D185" i="10"/>
  <c r="F185" i="10" s="1"/>
  <c r="D186" i="10"/>
  <c r="F186" i="10" s="1"/>
  <c r="I284" i="3"/>
  <c r="I300" i="3"/>
  <c r="G216" i="10"/>
  <c r="F216" i="10"/>
  <c r="G41" i="10"/>
  <c r="F41" i="10"/>
  <c r="G198" i="10"/>
  <c r="G157" i="10"/>
  <c r="G186" i="10"/>
  <c r="F79" i="10"/>
  <c r="G197" i="10"/>
  <c r="G166" i="10"/>
  <c r="F166" i="10"/>
  <c r="G211" i="10"/>
  <c r="G208" i="10"/>
  <c r="G110" i="10"/>
  <c r="G161" i="10"/>
  <c r="G162" i="10"/>
  <c r="G163" i="10"/>
  <c r="G124" i="10"/>
  <c r="G123" i="10"/>
  <c r="G97" i="10"/>
  <c r="G176" i="10"/>
  <c r="F36" i="10"/>
  <c r="G105" i="10"/>
  <c r="G91" i="10"/>
  <c r="F91" i="10"/>
  <c r="G31" i="10"/>
  <c r="F31" i="10"/>
  <c r="G60" i="10"/>
  <c r="F60" i="10"/>
  <c r="F55" i="10"/>
  <c r="G56" i="10"/>
  <c r="G204" i="10"/>
  <c r="G210" i="10"/>
  <c r="F210" i="10"/>
  <c r="G109" i="10"/>
  <c r="G196" i="10"/>
  <c r="G34" i="10"/>
  <c r="F34" i="10"/>
  <c r="G89" i="10"/>
  <c r="F89" i="10"/>
  <c r="F72" i="10"/>
  <c r="G18" i="10"/>
  <c r="G20" i="10"/>
  <c r="G23" i="10"/>
  <c r="G65" i="10"/>
  <c r="G66" i="10"/>
  <c r="G164" i="10"/>
  <c r="G62" i="10"/>
  <c r="G81" i="10"/>
  <c r="G232" i="10"/>
  <c r="G67" i="10"/>
  <c r="G14" i="10"/>
  <c r="F14" i="10"/>
  <c r="F150" i="10"/>
  <c r="F152" i="10"/>
  <c r="G10" i="10"/>
  <c r="F175" i="10"/>
  <c r="G175" i="10"/>
  <c r="F4" i="10"/>
  <c r="F5" i="10"/>
  <c r="F7" i="10"/>
  <c r="F8" i="10"/>
  <c r="F9" i="10"/>
  <c r="F10" i="10"/>
  <c r="F11" i="10"/>
  <c r="F17" i="10"/>
  <c r="F22" i="10"/>
  <c r="F28" i="10"/>
  <c r="F29" i="10"/>
  <c r="F32" i="10"/>
  <c r="F33" i="10"/>
  <c r="F35" i="10"/>
  <c r="F37" i="10"/>
  <c r="F38" i="10"/>
  <c r="F45" i="10"/>
  <c r="F49" i="10"/>
  <c r="F51" i="10"/>
  <c r="F53" i="10"/>
  <c r="F58" i="10"/>
  <c r="F61" i="10"/>
  <c r="F76" i="10"/>
  <c r="F93" i="10"/>
  <c r="F118" i="10"/>
  <c r="F122" i="10"/>
  <c r="F125" i="10"/>
  <c r="F127" i="10"/>
  <c r="F130" i="10"/>
  <c r="F132" i="10"/>
  <c r="F135" i="10"/>
  <c r="F142" i="10"/>
  <c r="F144" i="10"/>
  <c r="F145" i="10"/>
  <c r="F146" i="10"/>
  <c r="F153" i="10"/>
  <c r="F155" i="10"/>
  <c r="F176" i="10"/>
  <c r="F205" i="10"/>
  <c r="F206" i="10"/>
  <c r="F209" i="10"/>
  <c r="F232" i="10"/>
  <c r="G5" i="10"/>
  <c r="G6" i="10"/>
  <c r="G7" i="10"/>
  <c r="G9" i="10"/>
  <c r="G15" i="10"/>
  <c r="G16" i="10"/>
  <c r="G127" i="10"/>
  <c r="G132" i="10"/>
  <c r="G135" i="10"/>
  <c r="G27" i="10"/>
  <c r="G28" i="10"/>
  <c r="G29" i="10"/>
  <c r="G32" i="10"/>
  <c r="G33" i="10"/>
  <c r="G35" i="10"/>
  <c r="G37" i="10"/>
  <c r="G38" i="10"/>
  <c r="G45" i="10"/>
  <c r="G46" i="10"/>
  <c r="G48" i="10"/>
  <c r="G49" i="10"/>
  <c r="G51" i="10"/>
  <c r="G52" i="10"/>
  <c r="G53" i="10"/>
  <c r="G58" i="10"/>
  <c r="G61" i="10"/>
  <c r="G86" i="10"/>
  <c r="G95" i="10"/>
  <c r="G103" i="10"/>
  <c r="G104" i="10"/>
  <c r="G108" i="10"/>
  <c r="G116" i="10"/>
  <c r="G117" i="10"/>
  <c r="G118" i="10"/>
  <c r="G120" i="10"/>
  <c r="G121" i="10"/>
  <c r="G125" i="10"/>
  <c r="G142" i="10"/>
  <c r="G143" i="10"/>
  <c r="G144" i="10"/>
  <c r="I363" i="3"/>
  <c r="I337" i="3"/>
  <c r="D195" i="10"/>
  <c r="F195" i="10" s="1"/>
  <c r="D192" i="10"/>
  <c r="F192" i="10" s="1"/>
  <c r="D168" i="10"/>
  <c r="D162" i="10"/>
  <c r="I270" i="3"/>
  <c r="I240" i="3"/>
  <c r="I190" i="3"/>
  <c r="I174" i="3"/>
  <c r="I129" i="3"/>
  <c r="D179" i="10"/>
  <c r="D184" i="10"/>
  <c r="C140" i="10"/>
  <c r="C139" i="10"/>
  <c r="C78" i="10"/>
  <c r="C77" i="10"/>
  <c r="G77" i="10" s="1"/>
  <c r="C136" i="10"/>
  <c r="C137" i="10"/>
  <c r="D23" i="10"/>
  <c r="D25" i="10"/>
  <c r="I213" i="3"/>
  <c r="D101" i="10"/>
  <c r="F101" i="10" s="1"/>
  <c r="D102" i="10"/>
  <c r="C54" i="10"/>
  <c r="C55" i="10"/>
  <c r="C145" i="10"/>
  <c r="C146" i="10"/>
  <c r="C63" i="10"/>
  <c r="C64" i="10"/>
  <c r="D196" i="10"/>
  <c r="F196" i="10" s="1"/>
  <c r="D194" i="10"/>
  <c r="F194" i="10" s="1"/>
  <c r="D47" i="10"/>
  <c r="D46" i="10"/>
  <c r="D198" i="10"/>
  <c r="F198" i="10" s="1"/>
  <c r="D189" i="10"/>
  <c r="F189" i="10" s="1"/>
  <c r="D65" i="10"/>
  <c r="D64" i="10"/>
  <c r="D159" i="10"/>
  <c r="F163" i="10"/>
  <c r="D85" i="10"/>
  <c r="D86" i="10"/>
  <c r="F86" i="10" s="1"/>
  <c r="I76" i="3"/>
  <c r="D180" i="10"/>
  <c r="F180" i="10" s="1"/>
  <c r="D187" i="10"/>
  <c r="F187" i="10" s="1"/>
  <c r="D139" i="10"/>
  <c r="D140" i="10"/>
  <c r="I161" i="3"/>
  <c r="D103" i="10"/>
  <c r="D104" i="10"/>
  <c r="D44" i="10"/>
  <c r="D43" i="10"/>
  <c r="F170" i="10" s="1"/>
  <c r="D66" i="10"/>
  <c r="F120" i="10" s="1"/>
  <c r="D164" i="10"/>
  <c r="D167" i="10"/>
  <c r="I158" i="3"/>
  <c r="I102" i="3"/>
  <c r="D81" i="10"/>
  <c r="F81" i="10" s="1"/>
  <c r="D92" i="10"/>
  <c r="F92" i="10" s="1"/>
  <c r="D116" i="10"/>
  <c r="D117" i="10"/>
  <c r="D111" i="10"/>
  <c r="D115" i="10"/>
  <c r="F98" i="10" s="1"/>
  <c r="I82" i="3"/>
  <c r="I63" i="3"/>
  <c r="I2" i="3"/>
  <c r="I52" i="3"/>
  <c r="I58" i="3"/>
  <c r="I44" i="3"/>
  <c r="I22" i="3"/>
  <c r="I20" i="3"/>
  <c r="I5" i="3"/>
  <c r="I9" i="3"/>
  <c r="I12" i="3"/>
  <c r="I17" i="3"/>
  <c r="B6" i="1"/>
  <c r="E6" i="1" s="1"/>
  <c r="B2" i="7"/>
  <c r="D2" i="7" s="1"/>
  <c r="D10" i="7" s="1"/>
  <c r="B3" i="1"/>
  <c r="F25" i="10" l="1"/>
  <c r="F43" i="10"/>
  <c r="F66" i="10"/>
  <c r="F21" i="10"/>
  <c r="F27" i="10"/>
  <c r="F168" i="10"/>
  <c r="F173" i="10"/>
  <c r="F162" i="10"/>
  <c r="F204" i="10"/>
  <c r="F179" i="10"/>
  <c r="F143" i="10"/>
  <c r="F184" i="10"/>
  <c r="F95" i="10"/>
  <c r="G140" i="10"/>
  <c r="G57" i="10"/>
  <c r="G139" i="10"/>
  <c r="G71" i="10"/>
  <c r="G78" i="10"/>
  <c r="G76" i="10"/>
  <c r="G136" i="10"/>
  <c r="G92" i="10"/>
  <c r="G137" i="10"/>
  <c r="G72" i="10"/>
  <c r="F102" i="10"/>
  <c r="F18" i="10"/>
  <c r="G54" i="10"/>
  <c r="G147" i="10"/>
  <c r="G55" i="10"/>
  <c r="G151" i="10"/>
  <c r="G145" i="10"/>
  <c r="G22" i="10"/>
  <c r="G146" i="10"/>
  <c r="G17" i="10"/>
  <c r="G63" i="10"/>
  <c r="G130" i="10"/>
  <c r="G64" i="10"/>
  <c r="G129" i="10"/>
  <c r="F171" i="10"/>
  <c r="F47" i="10"/>
  <c r="F156" i="10"/>
  <c r="F46" i="10"/>
  <c r="F160" i="10"/>
  <c r="F65" i="10"/>
  <c r="F121" i="10"/>
  <c r="F64" i="10"/>
  <c r="F129" i="10"/>
  <c r="F159" i="10"/>
  <c r="F211" i="10"/>
  <c r="F85" i="10"/>
  <c r="F48" i="10"/>
  <c r="F52" i="10"/>
  <c r="F139" i="10"/>
  <c r="F71" i="10"/>
  <c r="F140" i="10"/>
  <c r="F57" i="10"/>
  <c r="F103" i="10"/>
  <c r="F16" i="10"/>
  <c r="F104" i="10"/>
  <c r="F15" i="10"/>
  <c r="F44" i="10"/>
  <c r="F172" i="10"/>
  <c r="F167" i="10"/>
  <c r="F178" i="10"/>
  <c r="F116" i="10"/>
  <c r="F110" i="10"/>
  <c r="F117" i="10"/>
  <c r="F105" i="10"/>
  <c r="F111" i="10"/>
  <c r="F6" i="10"/>
  <c r="E3" i="1"/>
  <c r="B5" i="1"/>
  <c r="E5" i="1" s="1"/>
</calcChain>
</file>

<file path=xl/sharedStrings.xml><?xml version="1.0" encoding="utf-8"?>
<sst xmlns="http://schemas.openxmlformats.org/spreadsheetml/2006/main" count="1917" uniqueCount="763">
  <si>
    <t>EL BOTÁNICO - PANEL DE CONTROL</t>
  </si>
  <si>
    <t>Indicador</t>
  </si>
  <si>
    <t>Valor</t>
  </si>
  <si>
    <t>Ventas Totales</t>
  </si>
  <si>
    <t>Costos Totales</t>
  </si>
  <si>
    <t>Ganancia Neta</t>
  </si>
  <si>
    <t>Valor de Stock</t>
  </si>
  <si>
    <t>Especie</t>
  </si>
  <si>
    <t>Maceta</t>
  </si>
  <si>
    <t>Cantidad</t>
  </si>
  <si>
    <t>Costo Unit.</t>
  </si>
  <si>
    <t>Precio Venta</t>
  </si>
  <si>
    <t>Fecha</t>
  </si>
  <si>
    <t>Precio Unit.</t>
  </si>
  <si>
    <t>Total</t>
  </si>
  <si>
    <t>Concepto</t>
  </si>
  <si>
    <t>Ingresos</t>
  </si>
  <si>
    <t>Egresos</t>
  </si>
  <si>
    <t>Saldo</t>
  </si>
  <si>
    <t>Margen Neto</t>
  </si>
  <si>
    <t>Nombre Cliente</t>
  </si>
  <si>
    <t>Tel.</t>
  </si>
  <si>
    <t>LUZ</t>
  </si>
  <si>
    <t>AGUA</t>
  </si>
  <si>
    <t>INTERNET</t>
  </si>
  <si>
    <t>CAMARA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</si>
  <si>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</si>
  <si>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</si>
  <si>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</si>
  <si>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</si>
  <si>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</si>
  <si>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</si>
  <si>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</si>
  <si>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</si>
  <si>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</si>
  <si>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COSTOS FIJOS</t>
  </si>
  <si>
    <t>AREKA</t>
  </si>
  <si>
    <t>CALATHEA MACOYANA</t>
  </si>
  <si>
    <t xml:space="preserve">CALATHEA ZEBRINA </t>
  </si>
  <si>
    <t>CUARESMERO</t>
  </si>
  <si>
    <t>KALANCHOE DOBLE</t>
  </si>
  <si>
    <t>GOMERO VARIEGADO</t>
  </si>
  <si>
    <t>CALATHEA MIL RAYAS</t>
  </si>
  <si>
    <t>CROTO TIRABUZON</t>
  </si>
  <si>
    <t>CROTO PETRA</t>
  </si>
  <si>
    <t>BEGONIA DRAGON</t>
  </si>
  <si>
    <t>AROMATICAS</t>
  </si>
  <si>
    <t>ANTHURIUM ROJO</t>
  </si>
  <si>
    <t>AGLONEMA PATTAYA</t>
  </si>
  <si>
    <t>CROTO LENGUA DE FUEGO</t>
  </si>
  <si>
    <t>DRACENA TRICOLOR</t>
  </si>
  <si>
    <t xml:space="preserve"> DUEÑA DE CUBO</t>
  </si>
  <si>
    <t>CALATEA MACOYANA</t>
  </si>
  <si>
    <t>3L</t>
  </si>
  <si>
    <t>TOTAL JORNADA</t>
  </si>
  <si>
    <t>COSTOS VARIABLES</t>
  </si>
  <si>
    <t>concepto</t>
  </si>
  <si>
    <t>AGAVE ATENUATA</t>
  </si>
  <si>
    <t>AGAVE AMERICANO</t>
  </si>
  <si>
    <t xml:space="preserve">AGAVE AMERICANO VARIEGADO </t>
  </si>
  <si>
    <t>AGAVE ANGUSTIFOLIA MAGUEY</t>
  </si>
  <si>
    <t xml:space="preserve">AGAVE DESMETTIANA </t>
  </si>
  <si>
    <t>AGAVE DESMETTIANA VARIEGADO</t>
  </si>
  <si>
    <t>PHOENIX CANARIENSIS</t>
  </si>
  <si>
    <t>WASHINGTONIA ROBUSTA</t>
  </si>
  <si>
    <t xml:space="preserve">CYCAS REVOLUTA </t>
  </si>
  <si>
    <t>IMPERIAL (ROYSTONEA REGIA)</t>
  </si>
  <si>
    <t>PINDO (SYAGRUS ROMANZOFFIANA)</t>
  </si>
  <si>
    <t>PALMA BAMBU ( RHAPIS EXCELSA)</t>
  </si>
  <si>
    <t>JAZMIN DEL PAIS  (JASMINUM GRANDIFLORUM)</t>
  </si>
  <si>
    <t>JAZMIN  DEL CABO  (GARDENIA JASMINOIDES)</t>
  </si>
  <si>
    <t>JAZMIN DE LECHE (TRACHELOSPERMUM JASMINOIDES)</t>
  </si>
  <si>
    <t>JAZMIN PARAGUAYO (BRUNFELSIA AUSTRALIS)</t>
  </si>
  <si>
    <t>JAZMIN DEL CIELO (PLUMBAGO AURICULATA)</t>
  </si>
  <si>
    <t>SEAFORTIA ALEJANDRA (ARCHONTOPHOENIX ALEXANDRAE)</t>
  </si>
  <si>
    <t>JAZMIN CHINO (JASMINUM POLYANTHUM)</t>
  </si>
  <si>
    <t>ALTERNANTHERA BRASILIANA</t>
  </si>
  <si>
    <t>ALTERNANTHERA FICOIDEA RED</t>
  </si>
  <si>
    <t>ALTERNANTHERA FICOIDEA VERDE</t>
  </si>
  <si>
    <t>JAZMIN MAGNO  (PLUMERIA RUBRA )</t>
  </si>
  <si>
    <t>JAZMIN BRASILERO  (CUMBRETUM INDICUM)</t>
  </si>
  <si>
    <t>TIERRA NEGRA</t>
  </si>
  <si>
    <t>PLANTAS</t>
  </si>
  <si>
    <t>MACETAS</t>
  </si>
  <si>
    <t>SUSTRATOS</t>
  </si>
  <si>
    <t>FERTILIZANTES</t>
  </si>
  <si>
    <t>FITOSANITARIOS</t>
  </si>
  <si>
    <t>PIEDRAS</t>
  </si>
  <si>
    <t>JORNALES</t>
  </si>
  <si>
    <t>COMBUSTIBLE</t>
  </si>
  <si>
    <t>DURANTA.SP</t>
  </si>
  <si>
    <t>DURANTA ERECTA</t>
  </si>
  <si>
    <t>DURANTA VARIEGADA</t>
  </si>
  <si>
    <t xml:space="preserve">GOMERO COMUN </t>
  </si>
  <si>
    <t>ROMERO</t>
  </si>
  <si>
    <t xml:space="preserve">OREGANO </t>
  </si>
  <si>
    <t>BURRITO</t>
  </si>
  <si>
    <t>ALBAHACA</t>
  </si>
  <si>
    <t>RUDA</t>
  </si>
  <si>
    <t>TOMILLO</t>
  </si>
  <si>
    <t xml:space="preserve">LAVANDA </t>
  </si>
  <si>
    <t>AJENJO</t>
  </si>
  <si>
    <t xml:space="preserve">CITRONELA </t>
  </si>
  <si>
    <t>STEVIA</t>
  </si>
  <si>
    <t>BUXUS</t>
  </si>
  <si>
    <t>POTUS</t>
  </si>
  <si>
    <t>PALO DE AGUA</t>
  </si>
  <si>
    <t>ÀRBOLES</t>
  </si>
  <si>
    <t>COLEUS SCUTELLARIOIDES</t>
  </si>
  <si>
    <t>DIEFFENBACHIA MARIANA</t>
  </si>
  <si>
    <t>PALMERAS</t>
  </si>
  <si>
    <t>JAZMINES</t>
  </si>
  <si>
    <t>OLIVO</t>
  </si>
  <si>
    <t>PATA DE BUEY (BAUHINIA FORTICATA)</t>
  </si>
  <si>
    <t>AGUARIBAY (SCHINUS MOLLE)</t>
  </si>
  <si>
    <t xml:space="preserve">FICUS PANDURATA </t>
  </si>
  <si>
    <t>SUCULENTAS</t>
  </si>
  <si>
    <t>ALOE VERA</t>
  </si>
  <si>
    <t>ESPECIE</t>
  </si>
  <si>
    <t>LIRIO DEL AMAZONAS</t>
  </si>
  <si>
    <t>25L</t>
  </si>
  <si>
    <t xml:space="preserve">JUJEÑO RENE </t>
  </si>
  <si>
    <t>CLIENTE</t>
  </si>
  <si>
    <t>JAZMIN AMARILLO</t>
  </si>
  <si>
    <t>4L</t>
  </si>
  <si>
    <t>HELECHO ESPARRAGO</t>
  </si>
  <si>
    <t>1L</t>
  </si>
  <si>
    <t>0,5 L</t>
  </si>
  <si>
    <t>VIOLETA</t>
  </si>
  <si>
    <t>TOTAL PONDERADO</t>
  </si>
  <si>
    <t>OREGANO</t>
  </si>
  <si>
    <t>Clarisa lopez</t>
  </si>
  <si>
    <t>mirta</t>
  </si>
  <si>
    <t>20L</t>
  </si>
  <si>
    <t>mantillo</t>
  </si>
  <si>
    <t>10L</t>
  </si>
  <si>
    <t>Gringa</t>
  </si>
  <si>
    <t>TIPO DE MACETA</t>
  </si>
  <si>
    <t>GOTAS</t>
  </si>
  <si>
    <t>GOTA Nº25</t>
  </si>
  <si>
    <t>GOTA Nº30</t>
  </si>
  <si>
    <t>GOTA Nº40</t>
  </si>
  <si>
    <t>GOTA Nº50</t>
  </si>
  <si>
    <t>GOTA Nº50 ANCHA</t>
  </si>
  <si>
    <t>GOTA Nº67</t>
  </si>
  <si>
    <t>GOTA MINI</t>
  </si>
  <si>
    <t>TINAJA Nº 65</t>
  </si>
  <si>
    <t>GOTA Nº65 ANCHA</t>
  </si>
  <si>
    <t>GOTA Nº35</t>
  </si>
  <si>
    <t>ESQUINEROS</t>
  </si>
  <si>
    <t>CUBOS</t>
  </si>
  <si>
    <t>CUBO 40X40</t>
  </si>
  <si>
    <t>CUBO 25X25</t>
  </si>
  <si>
    <t>CUBO 15X15</t>
  </si>
  <si>
    <t>PIRAMIDAL</t>
  </si>
  <si>
    <t>PIRAMIDAL 80X35</t>
  </si>
  <si>
    <t>PIRAMIDAL 60X50</t>
  </si>
  <si>
    <t>PIRAMIDAL 40X30</t>
  </si>
  <si>
    <t>PIRAMIDAL 30X25</t>
  </si>
  <si>
    <t>PIRAMIDAL 20X20</t>
  </si>
  <si>
    <t>PRISMA</t>
  </si>
  <si>
    <t>PRISMA 60X20</t>
  </si>
  <si>
    <t>PRISMA 50X20</t>
  </si>
  <si>
    <t>PRISMA 40X20</t>
  </si>
  <si>
    <t>PRISMA 30X20</t>
  </si>
  <si>
    <t>JARDINERAS</t>
  </si>
  <si>
    <t>JARDINERA 1X20X20</t>
  </si>
  <si>
    <t>JARDINERA 80X30X30</t>
  </si>
  <si>
    <t>JARDINERA 50X20X20</t>
  </si>
  <si>
    <t>NETO TOTAL</t>
  </si>
  <si>
    <t>MIRTA CABRAL MOTORS</t>
  </si>
  <si>
    <t>DIETE</t>
  </si>
  <si>
    <t>5L</t>
  </si>
  <si>
    <t xml:space="preserve">CLIENTE RISIONE </t>
  </si>
  <si>
    <t>PALMITO  (EUTERPE EDULIS )</t>
  </si>
  <si>
    <t>FRUTALES</t>
  </si>
  <si>
    <t>NISPERO</t>
  </si>
  <si>
    <t>LIMON EUREKA</t>
  </si>
  <si>
    <t>PALTO</t>
  </si>
  <si>
    <t>GUAJABA</t>
  </si>
  <si>
    <t>MORA</t>
  </si>
  <si>
    <t>MANGO</t>
  </si>
  <si>
    <t>DURAZNERO</t>
  </si>
  <si>
    <t>CIRUELO</t>
  </si>
  <si>
    <t>NOGAL PECAN</t>
  </si>
  <si>
    <t>NOGAL COMUN</t>
  </si>
  <si>
    <t>MAMON RED LEDY</t>
  </si>
  <si>
    <t>AGLONEMA PINK</t>
  </si>
  <si>
    <t>Maceta (LTS.)</t>
  </si>
  <si>
    <t>CORONITA DE NOVIA (SPIRAEA CANTONIENSIS)</t>
  </si>
  <si>
    <t>ROMERO PEQUEÑO</t>
  </si>
  <si>
    <t>ALISO DE MAR (LOBULARIA MARITIMA)</t>
  </si>
  <si>
    <t>COLGANTE</t>
  </si>
  <si>
    <t>VIRARÒ</t>
  </si>
  <si>
    <t>Existencias</t>
  </si>
  <si>
    <t xml:space="preserve">BEGONIA DRAGON </t>
  </si>
  <si>
    <t>GOMERO COMUN 1L</t>
  </si>
  <si>
    <t>CROTO GOLD STAR</t>
  </si>
  <si>
    <t>JAZMIN AMARILLO  (JASMINUM MENSYI)</t>
  </si>
  <si>
    <t>JAZMIN DE MADAGASCAR (STEPHANOTIS FLORIBUNDA)</t>
  </si>
  <si>
    <t>CURRY</t>
  </si>
  <si>
    <t>CEDRON PARAGUAYO</t>
  </si>
  <si>
    <t>PHILODENDRO WHITE  PRINCESS</t>
  </si>
  <si>
    <t xml:space="preserve">DRACENA LEMON </t>
  </si>
  <si>
    <t>DRACENA WARNECKI</t>
  </si>
  <si>
    <t xml:space="preserve">AMARANTHUS </t>
  </si>
  <si>
    <t>ANTHURIUM</t>
  </si>
  <si>
    <t>3/5L</t>
  </si>
  <si>
    <t>AGLONEMA FREEDMAN</t>
  </si>
  <si>
    <t xml:space="preserve">DRACENA FRAGANS/LEMON </t>
  </si>
  <si>
    <t>BEGONIA HIRTELLA</t>
  </si>
  <si>
    <t>COLOCACIA ESCULENTA</t>
  </si>
  <si>
    <t>ESPATIFILO</t>
  </si>
  <si>
    <t>ESPATIFILO SENSACIÒN</t>
  </si>
  <si>
    <t>PIEL DE LEOPARDO (DRIMIOPSIS MACULATA)</t>
  </si>
  <si>
    <t>MARANTA</t>
  </si>
  <si>
    <t>MARANTA ORACIÒN</t>
  </si>
  <si>
    <t>BROMELIA FOSFORITO</t>
  </si>
  <si>
    <t>1/2L</t>
  </si>
  <si>
    <t>AZUCENA DE MEXICO</t>
  </si>
  <si>
    <t>2/3L</t>
  </si>
  <si>
    <t>FLOR DE CARTON (DORSTENIA ELATA)</t>
  </si>
  <si>
    <t>STRELITZIA REGINAE (FLOR NARANJA)</t>
  </si>
  <si>
    <t>STRELITZIA NICOLAI (FLOR BALNCA Y NEGRO)</t>
  </si>
  <si>
    <t>TRADESCANTIA</t>
  </si>
  <si>
    <t>0,5/1L</t>
  </si>
  <si>
    <t>BEGONIA ALA DE ANGEL</t>
  </si>
  <si>
    <t>LAZO DE AMOR</t>
  </si>
  <si>
    <t xml:space="preserve">CROTO PETRA </t>
  </si>
  <si>
    <t>CROTÒN</t>
  </si>
  <si>
    <t>CROTO ASIATICO</t>
  </si>
  <si>
    <t>BROMELIA (LAGRIMA DE REINA)</t>
  </si>
  <si>
    <t xml:space="preserve">DURANTA </t>
  </si>
  <si>
    <t>DRACENA RUBRA</t>
  </si>
  <si>
    <t>3/10L</t>
  </si>
  <si>
    <t>ALPINIA</t>
  </si>
  <si>
    <t>YUCA</t>
  </si>
  <si>
    <t>12000/20000</t>
  </si>
  <si>
    <t>CHICO OJOS CLAROS</t>
  </si>
  <si>
    <t>CROTON</t>
  </si>
  <si>
    <t>PALMITO</t>
  </si>
  <si>
    <t>CENTU</t>
  </si>
  <si>
    <t>GOMERO PINK</t>
  </si>
  <si>
    <t>BEGONIA BOOMER</t>
  </si>
  <si>
    <t>CUARESMERO 7L</t>
  </si>
  <si>
    <t>CUARESMERO 5L</t>
  </si>
  <si>
    <t>PENSAMIENTO</t>
  </si>
  <si>
    <t>SEAFORTIA</t>
  </si>
  <si>
    <t>LAVANDA</t>
  </si>
  <si>
    <t>BOLSA TIERRA AZUL</t>
  </si>
  <si>
    <t>MANTILLO</t>
  </si>
  <si>
    <t>CLIENTA</t>
  </si>
  <si>
    <t xml:space="preserve">NORMA </t>
  </si>
  <si>
    <t>CALATEA MIL RAYAS</t>
  </si>
  <si>
    <t xml:space="preserve">DIETE </t>
  </si>
  <si>
    <t>DRACENA LEMON</t>
  </si>
  <si>
    <t>CARLA VILLALVA</t>
  </si>
  <si>
    <t>ALISO DE MAR</t>
  </si>
  <si>
    <t>AMIGA CARLA</t>
  </si>
  <si>
    <t>maceta PLASTICO gris</t>
  </si>
  <si>
    <t>FAMILIA</t>
  </si>
  <si>
    <t>CESAR</t>
  </si>
  <si>
    <t>COLEUS</t>
  </si>
  <si>
    <t>CORONITA DE NOVIA</t>
  </si>
  <si>
    <t>CAMI HINDU</t>
  </si>
  <si>
    <t>MACETA PLASTICO CELESTE</t>
  </si>
  <si>
    <t>CLIENTES PANADERIA</t>
  </si>
  <si>
    <t>JOSE</t>
  </si>
  <si>
    <t>pablo alarcon</t>
  </si>
  <si>
    <t>JAVIER CLIENTE</t>
  </si>
  <si>
    <t>EL NIÑO</t>
  </si>
  <si>
    <t>JUJEÑA</t>
  </si>
  <si>
    <t>FROMERO</t>
  </si>
  <si>
    <t>CLIENTA BARRIO</t>
  </si>
  <si>
    <t>COLEO</t>
  </si>
  <si>
    <t>CLIENTA  SEÑA</t>
  </si>
  <si>
    <t>CLIENTA MARTA GIRAUDO</t>
  </si>
  <si>
    <t>FLORALES</t>
  </si>
  <si>
    <t>vecina</t>
  </si>
  <si>
    <t>PEGORARO  SILVANA</t>
  </si>
  <si>
    <t>NORMA BARRIENTOS</t>
  </si>
  <si>
    <t>ESCUDO PERSA</t>
  </si>
  <si>
    <t>SEBASTIAN ALPERIN</t>
  </si>
  <si>
    <t xml:space="preserve">CHICA RUBIA </t>
  </si>
  <si>
    <t>MACETA PLASTICO GRIS</t>
  </si>
  <si>
    <t>PAREJA DE VIEJOS</t>
  </si>
  <si>
    <t>Nª41 CON RUEDAS</t>
  </si>
  <si>
    <t xml:space="preserve">VECINA BARRIO </t>
  </si>
  <si>
    <t>MONICA FRANCO</t>
  </si>
  <si>
    <t>BEGONIA ALAS DE ANGEL</t>
  </si>
  <si>
    <t>MARANTA ORACION</t>
  </si>
  <si>
    <t xml:space="preserve">ELSA  CHETA </t>
  </si>
  <si>
    <t>SALVIA</t>
  </si>
  <si>
    <t>PAREJA DE BS AS</t>
  </si>
  <si>
    <t>AGUARIBAY</t>
  </si>
  <si>
    <t>viejita</t>
  </si>
  <si>
    <t>pareja de viejos</t>
  </si>
  <si>
    <t>azalea</t>
  </si>
  <si>
    <t>almiron maria ines</t>
  </si>
  <si>
    <t>salvia</t>
  </si>
  <si>
    <t>vecina mantera</t>
  </si>
  <si>
    <t>TREBOL ROJO</t>
  </si>
  <si>
    <t>SEBASTIAN UNNE</t>
  </si>
  <si>
    <t>MONSTERA</t>
  </si>
  <si>
    <t>COMPRAS MACETS JUJEÑO</t>
  </si>
  <si>
    <t>EGRESOS</t>
  </si>
  <si>
    <t>LILIANA FALCON</t>
  </si>
  <si>
    <t>ANIZ</t>
  </si>
  <si>
    <t>SEÑOR GAY</t>
  </si>
  <si>
    <t xml:space="preserve">COLEO </t>
  </si>
  <si>
    <t>PAOLA ROCA CUBO</t>
  </si>
  <si>
    <t>SUSTRATO</t>
  </si>
  <si>
    <t>VECINA RUBIA</t>
  </si>
  <si>
    <t>MANUEL SOLA</t>
  </si>
  <si>
    <t>PROFE UNNE</t>
  </si>
  <si>
    <t>MENTA NUESTRA</t>
  </si>
  <si>
    <t xml:space="preserve">JAZMIN AMARILLO </t>
  </si>
  <si>
    <t>GOTA LARGA Nº30</t>
  </si>
  <si>
    <t>PORTEÑOS</t>
  </si>
  <si>
    <t>PAPA Y NENA</t>
  </si>
  <si>
    <t>AZALEA</t>
  </si>
  <si>
    <t>EUPHORBIA VARIEGATA</t>
  </si>
  <si>
    <t>COLI MARIA BELEN</t>
  </si>
  <si>
    <t xml:space="preserve">GRINGA </t>
  </si>
  <si>
    <t>JARDINERA 80X20X20</t>
  </si>
  <si>
    <t>GAURA</t>
  </si>
  <si>
    <t>GORDITA</t>
  </si>
  <si>
    <t>señora</t>
  </si>
  <si>
    <t>menta cubana</t>
  </si>
  <si>
    <t>señór viejo</t>
  </si>
  <si>
    <t xml:space="preserve">vecino  </t>
  </si>
  <si>
    <t>señora y señor</t>
  </si>
  <si>
    <t>gaura</t>
  </si>
  <si>
    <t>chica y chico</t>
  </si>
  <si>
    <t>aromaticas</t>
  </si>
  <si>
    <t>estela maris escuela</t>
  </si>
  <si>
    <t>señora gordita</t>
  </si>
  <si>
    <t>paula clienta cubo</t>
  </si>
  <si>
    <t>BARBERO ESQUINA</t>
  </si>
  <si>
    <t>MENTA NEGRA</t>
  </si>
  <si>
    <t>ALEJANDRO GONZALEZ</t>
  </si>
  <si>
    <t>PIBE</t>
  </si>
  <si>
    <t>SEÑORA VECINA DE AGOS</t>
  </si>
  <si>
    <t>SEÑORA DE EDIFICIO</t>
  </si>
  <si>
    <t>VECINA</t>
  </si>
  <si>
    <t>VIEJITAS ORQUIDEAS</t>
  </si>
  <si>
    <t>LANTANA</t>
  </si>
  <si>
    <t>porteños</t>
  </si>
  <si>
    <t>HELECHO PIEDRA</t>
  </si>
  <si>
    <t>GALO</t>
  </si>
  <si>
    <t>CARLI</t>
  </si>
  <si>
    <t>VECINA NANCY</t>
  </si>
  <si>
    <t>LIBRERÍA</t>
  </si>
  <si>
    <t>POLISOL</t>
  </si>
  <si>
    <t>VECINA MANTERA</t>
  </si>
  <si>
    <t>BALANZA</t>
  </si>
  <si>
    <t>BOLSAS DE ARPILLERA</t>
  </si>
  <si>
    <t>*</t>
  </si>
  <si>
    <t>MARTITA HIJO</t>
  </si>
  <si>
    <t>PARAGUAYA</t>
  </si>
  <si>
    <t>LUIS ANDRADE</t>
  </si>
  <si>
    <t>MARGARITA</t>
  </si>
  <si>
    <t>VINCA</t>
  </si>
  <si>
    <t>M14</t>
  </si>
  <si>
    <t>SOL DE SUDAFRICA</t>
  </si>
  <si>
    <t>POTUS LEMON</t>
  </si>
  <si>
    <t>POTUS VARIEGADO BLANCO</t>
  </si>
  <si>
    <t>POTUS VARIEGADO VERDE</t>
  </si>
  <si>
    <t xml:space="preserve">FLORALES </t>
  </si>
  <si>
    <t>PERESKIA ACULEATA</t>
  </si>
  <si>
    <t>CAMPANITA PLATEADA (Convolvulus)</t>
  </si>
  <si>
    <t>PALMA DEL VIAJERO</t>
  </si>
  <si>
    <t>MAMA Y NENAS</t>
  </si>
  <si>
    <t>STRELITZIA REGINAE</t>
  </si>
  <si>
    <t>SEÑOR HORMIGA</t>
  </si>
  <si>
    <t>JAZMIN PARAGUAYO</t>
  </si>
  <si>
    <t>HELECHO MONO</t>
  </si>
  <si>
    <t>CORTADERIA SELLOANA</t>
  </si>
  <si>
    <t>RUPELLI</t>
  </si>
  <si>
    <t>CHICO UREA</t>
  </si>
  <si>
    <t>UREA</t>
  </si>
  <si>
    <t>ROSA CHINA</t>
  </si>
  <si>
    <t>SEÑORA</t>
  </si>
  <si>
    <t>NORTE GRAFICA</t>
  </si>
  <si>
    <t>PENNICETUM</t>
  </si>
  <si>
    <t>ASCLEPIA</t>
  </si>
  <si>
    <t>ALOCACIA (OREJA DE ELEFANTE) CHICA</t>
  </si>
  <si>
    <t>ALOCACIA (OREJA DE ELEFANTE) GRANDE</t>
  </si>
  <si>
    <t>M15</t>
  </si>
  <si>
    <t>SANTA RITA</t>
  </si>
  <si>
    <t>DIMORFOTECA (MARGARITA DEL CABO)</t>
  </si>
  <si>
    <t>HERBACEAS PERENNES/CADUCAS</t>
  </si>
  <si>
    <t>GIRASOL</t>
  </si>
  <si>
    <t>PETUNIA AMARILLA COLGANTE</t>
  </si>
  <si>
    <t>ROSA BLANCA</t>
  </si>
  <si>
    <t xml:space="preserve">DRACENA LEMON  </t>
  </si>
  <si>
    <t>ARALIA VARIEGADA</t>
  </si>
  <si>
    <t>POLIGALA</t>
  </si>
  <si>
    <t>CHICA</t>
  </si>
  <si>
    <t>FAMILA JOSE HERNANDEZ</t>
  </si>
  <si>
    <t>CALA BLANCA</t>
  </si>
  <si>
    <t xml:space="preserve">JAZMIN CHINO </t>
  </si>
  <si>
    <t>chica</t>
  </si>
  <si>
    <t xml:space="preserve">LILUM </t>
  </si>
  <si>
    <t>PANDURATA</t>
  </si>
  <si>
    <t>GOMERO DISCIPLINADO</t>
  </si>
  <si>
    <t>DRACENA KIWI</t>
  </si>
  <si>
    <t>DRACENA BABY</t>
  </si>
  <si>
    <t>FITONIA</t>
  </si>
  <si>
    <t>M18</t>
  </si>
  <si>
    <t>BEGONIA REY (PLATEADA)</t>
  </si>
  <si>
    <t>PHILODENDRO</t>
  </si>
  <si>
    <t>PHILODENDRO VERDE</t>
  </si>
  <si>
    <t>SILVINA AIDES</t>
  </si>
  <si>
    <t>SANTIAGUEÑA</t>
  </si>
  <si>
    <t>CHICO</t>
  </si>
  <si>
    <t>CHICO JEEP</t>
  </si>
  <si>
    <t>CAMPANITA PLATEADA</t>
  </si>
  <si>
    <t>STROMANTHE</t>
  </si>
  <si>
    <t>MACETA PLASTICO AMARILLA</t>
  </si>
  <si>
    <t>LILIUM</t>
  </si>
  <si>
    <t>CALATHEA MACOYANA CHICA</t>
  </si>
  <si>
    <t>DORSTENIA</t>
  </si>
  <si>
    <t>TIERRA NEGRA BOLSA AZUL</t>
  </si>
  <si>
    <t>ROMERO CHICO</t>
  </si>
  <si>
    <t xml:space="preserve">CAMPANITA PLATEADA </t>
  </si>
  <si>
    <t>CORTADERIA</t>
  </si>
  <si>
    <t xml:space="preserve">LILIUM </t>
  </si>
  <si>
    <t>MENTA CUBANA</t>
  </si>
  <si>
    <t xml:space="preserve">CHICA </t>
  </si>
  <si>
    <t>VENTILADOR</t>
  </si>
  <si>
    <t>cana</t>
  </si>
  <si>
    <t>oregano</t>
  </si>
  <si>
    <t>señor</t>
  </si>
  <si>
    <t xml:space="preserve">jazmin chino </t>
  </si>
  <si>
    <t>jazmin amarillo</t>
  </si>
  <si>
    <t>gringa</t>
  </si>
  <si>
    <t>licenciado</t>
  </si>
  <si>
    <t>asclepia</t>
  </si>
  <si>
    <t>diete</t>
  </si>
  <si>
    <t>poligala</t>
  </si>
  <si>
    <t>3l</t>
  </si>
  <si>
    <t>m18</t>
  </si>
  <si>
    <t>MEDIA SOMBRA</t>
  </si>
  <si>
    <t>SEÑOR</t>
  </si>
  <si>
    <t xml:space="preserve">ROMERO </t>
  </si>
  <si>
    <t>petunia</t>
  </si>
  <si>
    <t>FLETE POSTES</t>
  </si>
  <si>
    <t>MARY VIVAS</t>
  </si>
  <si>
    <t>CALATHEA ZEBRINA</t>
  </si>
  <si>
    <t>MARTIN</t>
  </si>
  <si>
    <t>MUSGO SPAGNUM</t>
  </si>
  <si>
    <t>TURBA SPAGNUM</t>
  </si>
  <si>
    <t xml:space="preserve">VECINA </t>
  </si>
  <si>
    <t>MACHO</t>
  </si>
  <si>
    <t>JAZMI PARAGUAYO</t>
  </si>
  <si>
    <t>VERONICA</t>
  </si>
  <si>
    <t>SUSANA</t>
  </si>
  <si>
    <t>CECILIA</t>
  </si>
  <si>
    <t>LAURA</t>
  </si>
  <si>
    <t>CHICOS</t>
  </si>
  <si>
    <t>DIANELA</t>
  </si>
  <si>
    <t>CLAUDIO</t>
  </si>
  <si>
    <t>ROSE MARY</t>
  </si>
  <si>
    <t>DIMORFOTECA</t>
  </si>
  <si>
    <t>CHICOS VITAL</t>
  </si>
  <si>
    <t>MACETA CON RUEDAS</t>
  </si>
  <si>
    <t>MARIO NADELMAN</t>
  </si>
  <si>
    <t xml:space="preserve">SRA, ORELLANA </t>
  </si>
  <si>
    <t>SORDY</t>
  </si>
  <si>
    <t>SRA CON CHICOS</t>
  </si>
  <si>
    <t xml:space="preserve">DIMORFOTECA </t>
  </si>
  <si>
    <t>CHICA CON HIJOS</t>
  </si>
  <si>
    <t>PAREJITA</t>
  </si>
  <si>
    <t>ENZO COMPAÑERO</t>
  </si>
  <si>
    <t>POTUS COLGANTE</t>
  </si>
  <si>
    <t xml:space="preserve">POLIGALA </t>
  </si>
  <si>
    <t xml:space="preserve">CAMPANITA PALTEADA </t>
  </si>
  <si>
    <t xml:space="preserve">PHILODENDRO </t>
  </si>
  <si>
    <t>PHILODENDRO WHITE PRINCESS</t>
  </si>
  <si>
    <t>ASTA DE CIERVO</t>
  </si>
  <si>
    <t>40000/60000</t>
  </si>
  <si>
    <t>PAREJA</t>
  </si>
  <si>
    <t>CALANCHOE</t>
  </si>
  <si>
    <t>PAREJA MOTO</t>
  </si>
  <si>
    <t>VEGUITA</t>
  </si>
  <si>
    <t xml:space="preserve">VIVERO EMPEDRADO </t>
  </si>
  <si>
    <t>SEÑORA SEMI JOVEN</t>
  </si>
  <si>
    <t>GORDILIN</t>
  </si>
  <si>
    <t>DIMORFOTECAS</t>
  </si>
  <si>
    <t>ALIZO DE MAR</t>
  </si>
  <si>
    <t>SEÑORA MEDICA</t>
  </si>
  <si>
    <t xml:space="preserve">MILI </t>
  </si>
  <si>
    <t>PROFE</t>
  </si>
  <si>
    <t>ALPHINA</t>
  </si>
  <si>
    <t>UPI</t>
  </si>
  <si>
    <t>JAZMIN ESTRELLA</t>
  </si>
  <si>
    <t>JAZMIN CAROLINA</t>
  </si>
  <si>
    <t>NOLINA GRANDE</t>
  </si>
  <si>
    <t>CHICA GORDITA</t>
  </si>
  <si>
    <t>ARALIA GERALIO</t>
  </si>
  <si>
    <t>ORQUIDEA</t>
  </si>
  <si>
    <t>VENTI</t>
  </si>
  <si>
    <t>ROSA TREPADORA</t>
  </si>
  <si>
    <t>MADRE SELVA</t>
  </si>
  <si>
    <t>ARBUSTOS/ ENREDADERAS</t>
  </si>
  <si>
    <t>LAUREL DE JARDIN</t>
  </si>
  <si>
    <t>TACUARITA</t>
  </si>
  <si>
    <t>CLERODENDRO</t>
  </si>
  <si>
    <t>RIEGO PRIMER ETAPA</t>
  </si>
  <si>
    <t>GABRIEL   MARTITA HIJO</t>
  </si>
  <si>
    <t>CLAUDIIO</t>
  </si>
  <si>
    <t>WESTRINGIA</t>
  </si>
  <si>
    <t>JAZMIN DEL CIELO</t>
  </si>
  <si>
    <t>TUMBERGIA</t>
  </si>
  <si>
    <t>ARALIA ELEGANTISIMA</t>
  </si>
  <si>
    <t>SEÑORAS</t>
  </si>
  <si>
    <t>CHICAS</t>
  </si>
  <si>
    <t>GENTE DE CASTELLI</t>
  </si>
  <si>
    <t>DUEÑA DE CUBO</t>
  </si>
  <si>
    <t>CHICA CANA</t>
  </si>
  <si>
    <t>SALVIA GUARANITICA</t>
  </si>
  <si>
    <t>CHICA COSMETICA</t>
  </si>
  <si>
    <t>OVEI</t>
  </si>
  <si>
    <t>GORDIBLACK</t>
  </si>
  <si>
    <t>RAUL</t>
  </si>
  <si>
    <t>pibe blanco</t>
  </si>
  <si>
    <t>MACHAGAY</t>
  </si>
  <si>
    <t xml:space="preserve">MACETA RAFAELA </t>
  </si>
  <si>
    <t>3´)</t>
  </si>
  <si>
    <t>K ,/85</t>
  </si>
  <si>
    <t xml:space="preserve">LA BREÑAS </t>
  </si>
  <si>
    <t xml:space="preserve">ALISO DE MAR </t>
  </si>
  <si>
    <t xml:space="preserve">AMIGA DE JUSTI </t>
  </si>
  <si>
    <t>GOTA Nº 35</t>
  </si>
  <si>
    <t>señora plaga</t>
  </si>
  <si>
    <t xml:space="preserve">chica mama </t>
  </si>
  <si>
    <t xml:space="preserve">turba spagnum </t>
  </si>
  <si>
    <t>10000/60000</t>
  </si>
  <si>
    <t>OLEO TEXANO</t>
  </si>
  <si>
    <t>SEÑORA AMABLE</t>
  </si>
  <si>
    <t>PERLITA</t>
  </si>
  <si>
    <t xml:space="preserve">chica </t>
  </si>
  <si>
    <t>MELINA</t>
  </si>
  <si>
    <t>CAMPANILLA PLATEADA</t>
  </si>
  <si>
    <t>PETUNIA</t>
  </si>
  <si>
    <t>PHILODENDRO WITHE PRINCESS</t>
  </si>
  <si>
    <t xml:space="preserve">lasitos de amor </t>
  </si>
  <si>
    <t>florales</t>
  </si>
  <si>
    <t>lazo de amor</t>
  </si>
  <si>
    <t>viejos</t>
  </si>
  <si>
    <t>lavanda</t>
  </si>
  <si>
    <t xml:space="preserve"> </t>
  </si>
  <si>
    <t>PAULA CUBO</t>
  </si>
  <si>
    <t>CAMPANITAA PLATEADA</t>
  </si>
  <si>
    <t>GOTA Nº 55</t>
  </si>
  <si>
    <t>helecho PIEDRA</t>
  </si>
  <si>
    <t>SEÑORA Y CHICA</t>
  </si>
  <si>
    <t>STRELITZIA NICOLAI</t>
  </si>
  <si>
    <t>CHICA Y BEBE</t>
  </si>
  <si>
    <t xml:space="preserve">POTUS </t>
  </si>
  <si>
    <t>SEÑORA FALTA DE DECISIÓN</t>
  </si>
  <si>
    <t>GIGARED</t>
  </si>
  <si>
    <t>SAMEEP</t>
  </si>
  <si>
    <t>SECHEEP</t>
  </si>
  <si>
    <t>CABLE SUBTERRANEO</t>
  </si>
  <si>
    <t>SEÑORA DE CUBO</t>
  </si>
  <si>
    <t>FALSO CARAGUATA</t>
  </si>
  <si>
    <t>PIBA Y PIBE</t>
  </si>
  <si>
    <t xml:space="preserve">OLEO TEXANO </t>
  </si>
  <si>
    <t>BRASILERO</t>
  </si>
  <si>
    <t>MAURO</t>
  </si>
  <si>
    <t xml:space="preserve">BOMBA RIEGO </t>
  </si>
  <si>
    <t>PICA PICA</t>
  </si>
  <si>
    <t>ARENA</t>
  </si>
  <si>
    <t>ENAMORADA DEL MURO</t>
  </si>
  <si>
    <t>CRISANTEMO</t>
  </si>
  <si>
    <t>KALANCHOE MINI</t>
  </si>
  <si>
    <t>ROSA MINI</t>
  </si>
  <si>
    <t>BOLSA TIERRA</t>
  </si>
  <si>
    <t>PAREJA VIEJOS</t>
  </si>
  <si>
    <t>ABUELA</t>
  </si>
  <si>
    <t>MENTA</t>
  </si>
  <si>
    <t>PIEDRA BLANCA</t>
  </si>
  <si>
    <t>JAVIER CORVALAN</t>
  </si>
  <si>
    <t>CHICA Y MADRE</t>
  </si>
  <si>
    <t>SOÑA</t>
  </si>
  <si>
    <t xml:space="preserve">ROSA </t>
  </si>
  <si>
    <t>AGLONEMA  PATAYA</t>
  </si>
  <si>
    <t xml:space="preserve">viejita busca </t>
  </si>
  <si>
    <t>flete julio</t>
  </si>
  <si>
    <t>chicas</t>
  </si>
  <si>
    <t>aniz</t>
  </si>
  <si>
    <t>crisantemo</t>
  </si>
  <si>
    <t>Kalanchoe mini</t>
  </si>
  <si>
    <t>DOS VIEJOS</t>
  </si>
  <si>
    <t>VENECIA N17</t>
  </si>
  <si>
    <t>ROCIO N10</t>
  </si>
  <si>
    <t>MILAN N20</t>
  </si>
  <si>
    <t>PARIS N27</t>
  </si>
  <si>
    <t>PARIS N18</t>
  </si>
  <si>
    <t>PIRAMIDAL OWEN N15</t>
  </si>
  <si>
    <t>PIRAMIDAL OWEN N25</t>
  </si>
  <si>
    <t>PREMIUM REDONDA N08</t>
  </si>
  <si>
    <t>PREMIUM REDONDA N18</t>
  </si>
  <si>
    <t>PREMIUM REDONDA N12</t>
  </si>
  <si>
    <t>JARDINERA ROCIO N55</t>
  </si>
  <si>
    <t>JARDINERA ROCIO N45</t>
  </si>
  <si>
    <t>JARDINERA ROCIO N35</t>
  </si>
  <si>
    <t>PLASTICAS</t>
  </si>
  <si>
    <t xml:space="preserve"> DIAMANTE N25</t>
  </si>
  <si>
    <t xml:space="preserve"> DIAMANTE N15</t>
  </si>
  <si>
    <t>PIRAMIDAL N45 CON RUEDAS</t>
  </si>
  <si>
    <t>GOMERO COMUN</t>
  </si>
  <si>
    <t>MAMA Y NENE</t>
  </si>
  <si>
    <t>SEÑORA EN MOTO</t>
  </si>
  <si>
    <t>TIA VIVI</t>
  </si>
  <si>
    <t>romero</t>
  </si>
  <si>
    <t>tomillo</t>
  </si>
  <si>
    <t>menta</t>
  </si>
  <si>
    <t>JORGE VIAIN COLOMBO</t>
  </si>
  <si>
    <t>PENTA</t>
  </si>
  <si>
    <t>ELECTRICIDAD</t>
  </si>
  <si>
    <t>PIUNTURA</t>
  </si>
  <si>
    <t>cemento</t>
  </si>
  <si>
    <t>FABRI</t>
  </si>
  <si>
    <t>SEÑORA BEGONIA</t>
  </si>
  <si>
    <t>BEGONIA REY</t>
  </si>
  <si>
    <t>SEÑORA CHETA</t>
  </si>
  <si>
    <t>piki</t>
  </si>
  <si>
    <t>monstera</t>
  </si>
  <si>
    <t>señora cheta</t>
  </si>
  <si>
    <t>croton</t>
  </si>
  <si>
    <t>chico</t>
  </si>
  <si>
    <t>chicA</t>
  </si>
  <si>
    <t>GOMERO GRANDE NEGRO</t>
  </si>
  <si>
    <t>DURANTA</t>
  </si>
  <si>
    <t>ARECA</t>
  </si>
  <si>
    <t>ROSA</t>
  </si>
  <si>
    <t>TIERRA NEGRA CHACA</t>
  </si>
  <si>
    <t>MACETA PLASTICO</t>
  </si>
  <si>
    <t>MINI CALANCHOE</t>
  </si>
  <si>
    <t>Guerrera</t>
  </si>
  <si>
    <t>JAZMIN DE LECHE</t>
  </si>
  <si>
    <t>PETUÑAS</t>
  </si>
  <si>
    <t>ALEGRIA DEL HOGAR</t>
  </si>
  <si>
    <t>VETERINARIA</t>
  </si>
  <si>
    <t>transplantes raul luquitas</t>
  </si>
  <si>
    <t>penacho</t>
  </si>
  <si>
    <t>penta</t>
  </si>
  <si>
    <t>pareja</t>
  </si>
  <si>
    <t>penacho floral</t>
  </si>
  <si>
    <t>petuña</t>
  </si>
  <si>
    <t>lantana</t>
  </si>
  <si>
    <t>pibe tierra negra</t>
  </si>
  <si>
    <t>VIVERO FERNANDO</t>
  </si>
  <si>
    <t>VIVERO PARAGUAYO</t>
  </si>
  <si>
    <t>VIVERO CHIRINGO</t>
  </si>
  <si>
    <t>VELA</t>
  </si>
  <si>
    <t xml:space="preserve">MACETAS </t>
  </si>
  <si>
    <t>GIRASOL MINI</t>
  </si>
  <si>
    <t>VIVERO MANUEL</t>
  </si>
  <si>
    <t>EDU MINISTERIO</t>
  </si>
  <si>
    <t>VIEJA</t>
  </si>
  <si>
    <t>ZAMIOCULCA</t>
  </si>
  <si>
    <t>ZAMIOCULCA BLACK</t>
  </si>
  <si>
    <t>BUXUS TERRON</t>
  </si>
  <si>
    <t>RETAMA</t>
  </si>
  <si>
    <t>buxus</t>
  </si>
  <si>
    <t>penicetum purpureum</t>
  </si>
  <si>
    <t>flete cristian</t>
  </si>
  <si>
    <t>luquitas y pablito</t>
  </si>
  <si>
    <t>jazmin de leche</t>
  </si>
  <si>
    <t>santa rita</t>
  </si>
  <si>
    <t>albahaca</t>
  </si>
  <si>
    <t>cedron</t>
  </si>
  <si>
    <t>POLEO</t>
  </si>
  <si>
    <t>PORTULACA</t>
  </si>
  <si>
    <t xml:space="preserve">retama </t>
  </si>
  <si>
    <t>señora y niña</t>
  </si>
  <si>
    <t>vinca</t>
  </si>
  <si>
    <t>chica medio dia</t>
  </si>
  <si>
    <t>jujeño</t>
  </si>
  <si>
    <t>chica rio manso</t>
  </si>
  <si>
    <t>potus</t>
  </si>
  <si>
    <t>curry</t>
  </si>
  <si>
    <t xml:space="preserve">urea </t>
  </si>
  <si>
    <t>ana laura villalva</t>
  </si>
  <si>
    <t>olivo</t>
  </si>
  <si>
    <t>alana señora</t>
  </si>
  <si>
    <t>ajillo</t>
  </si>
  <si>
    <t>martita hijo</t>
  </si>
  <si>
    <t>sustro abono</t>
  </si>
  <si>
    <t xml:space="preserve">SEÑORA </t>
  </si>
  <si>
    <t>SIEMPRE VERDE</t>
  </si>
  <si>
    <t>GIRAUDO</t>
  </si>
  <si>
    <t>COPETITO</t>
  </si>
  <si>
    <t>ruda</t>
  </si>
  <si>
    <t>señora gringa</t>
  </si>
  <si>
    <t>piedrita blanca</t>
  </si>
  <si>
    <t>MONEDA VARIEGADA</t>
  </si>
  <si>
    <t>ABONO SITE JARDIN</t>
  </si>
  <si>
    <t>MATI OLDANI</t>
  </si>
  <si>
    <t>NOLINA CHICA</t>
  </si>
  <si>
    <t>LOBELIA</t>
  </si>
  <si>
    <t>jujeño macetas</t>
  </si>
  <si>
    <t>electricidad tanque</t>
  </si>
  <si>
    <t>MARIO BUSTAMANTE</t>
  </si>
  <si>
    <t>DIAMANTE N25</t>
  </si>
  <si>
    <t>maranta</t>
  </si>
  <si>
    <t xml:space="preserve">CROTO LENGUA DE FUEGO </t>
  </si>
  <si>
    <t>NOLINA MEDIANA</t>
  </si>
  <si>
    <t>HELICONIA GRANDE</t>
  </si>
  <si>
    <t>HELICONIA CHICA</t>
  </si>
  <si>
    <t>MONSTERA GRANDE</t>
  </si>
  <si>
    <t>STROMANTHE CHICO</t>
  </si>
  <si>
    <t>CUBO 35X35</t>
  </si>
  <si>
    <t>COLGANTE PLASTICA</t>
  </si>
  <si>
    <t>JARDINERA 1X22X40</t>
  </si>
  <si>
    <t>JARDINERA 60X22X30</t>
  </si>
  <si>
    <t>PIRAMIDAL 70X35</t>
  </si>
  <si>
    <t>CONOS</t>
  </si>
  <si>
    <t>CONO N40</t>
  </si>
  <si>
    <t>CONO N55</t>
  </si>
  <si>
    <t>CONO N70</t>
  </si>
  <si>
    <t>STROMANTHE GRANDE</t>
  </si>
  <si>
    <t>PHILODENDRO SANGUINEA</t>
  </si>
  <si>
    <t>LIRIO MATIZADO</t>
  </si>
  <si>
    <t>ALOCACIA (OREJA DE ELEFANTE) MEDIANA</t>
  </si>
  <si>
    <t>CALISTEMO</t>
  </si>
  <si>
    <t>LAUREL BLANCO</t>
  </si>
  <si>
    <t>CRATAEGUS</t>
  </si>
  <si>
    <t>MELINI</t>
  </si>
  <si>
    <t>PENACHO</t>
  </si>
  <si>
    <t>GOTA LARGA</t>
  </si>
  <si>
    <t>BEGONIA RED</t>
  </si>
  <si>
    <t>ALOCACIA MEDIANA</t>
  </si>
  <si>
    <t>ENAMORADA DEL MURO VARIEGADA</t>
  </si>
  <si>
    <t>HELICONIA</t>
  </si>
  <si>
    <t xml:space="preserve">MENTA </t>
  </si>
  <si>
    <t>ROSA AISBERG</t>
  </si>
  <si>
    <t>PELUQUERO MAURICIO</t>
  </si>
  <si>
    <t>BOLSA SITE JARDIN</t>
  </si>
  <si>
    <t>lucas HIJO DE CLAUDIO</t>
  </si>
  <si>
    <t>CLUDIO PORTON</t>
  </si>
  <si>
    <t>ALOCACIA BLACK</t>
  </si>
  <si>
    <t>CHICA Y CHICO</t>
  </si>
  <si>
    <t>BOLSA AZUL DE RTIERRA</t>
  </si>
  <si>
    <t xml:space="preserve">LOBELIA </t>
  </si>
  <si>
    <t>ALEGRIA</t>
  </si>
  <si>
    <t>ESTRELLA FEDERAL</t>
  </si>
  <si>
    <t>PORTA</t>
  </si>
  <si>
    <t>ZINNIA</t>
  </si>
  <si>
    <t>CLAVELINA</t>
  </si>
  <si>
    <t>HIPOESTES</t>
  </si>
  <si>
    <t>TIERRA NEGRA BOLSA BLANCA</t>
  </si>
  <si>
    <t>PORTULACA (VERDOLAGA)</t>
  </si>
  <si>
    <t>LIRIO</t>
  </si>
  <si>
    <t>HELECHO</t>
  </si>
  <si>
    <t>hipoestes</t>
  </si>
  <si>
    <t>calathea zebrina</t>
  </si>
  <si>
    <t>DIAMANTE N15</t>
  </si>
  <si>
    <t>ABONO SIETE JARDIN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</si>
</sst>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$&quot;\ * #,##0.00_-;\-&quot;$&quot;\ * #,##0.00_-;_-&quot;$&quot;\ * &quot;-&quot;??_-;_-@_-"/>
    <numFmt numFmtId="164" formatCode="_-[$$-2C0A]\ * #,##0.00_-;\-[$$-2C0A]\ * #,##0.00_-;_-[$$-2C0A]\ * &quot;-&quot;??_-;_-@_-"/>
    <numFmt numFmtId="165" formatCode="&quot;$&quot;\ #,##0.00"/>
  </numFmts>
  <fonts count="19" x14ac:knownFonts="1">
    <font>
      <sz val="11"/>
      <color theme="1"/>
      <name val="Calibri"/>
      <family val="2"/>
      <scheme val="minor"/>
    </font>
    <font>
      <b/>
      <sz val="16"/>
      <name val="Calibri"/>
    </font>
    <font>
      <b/>
      <sz val="11"/>
      <name val="Calibri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i/>
      <u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name val="Calibri"/>
      <family val="2"/>
    </font>
    <font>
      <b/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FF0000"/>
      <name val="Calibri"/>
      <family val="2"/>
      <scheme val="minor"/>
    </font>
    <font>
      <b/>
      <sz val="20"/>
      <color rgb="FFC00000"/>
      <name val="Calibri"/>
      <family val="2"/>
      <scheme val="minor"/>
    </font>
    <font>
      <b/>
      <sz val="11"/>
      <name val="Calibri"/>
      <family val="2"/>
      <scheme val="minor"/>
    </font>
    <font>
      <b/>
      <u val="singleAccounting"/>
      <sz val="11"/>
      <color theme="1"/>
      <name val="Calibri"/>
      <family val="2"/>
      <scheme val="minor"/>
    </font>
    <font>
      <sz val="11"/>
      <name val="Times New Roman"/>
      <family val="1"/>
    </font>
    <font>
      <b/>
      <sz val="16"/>
      <color rgb="FFC00000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/>
        <bgColor indexed="64"/>
      </patternFill>
    </fill>
  </fills>
  <borders count="4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ck">
        <color indexed="64"/>
      </right>
      <top/>
      <bottom style="medium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/>
      <diagonal/>
    </border>
    <border>
      <left style="medium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theme="4" tint="0.39997558519241921"/>
      </bottom>
      <diagonal/>
    </border>
    <border>
      <left style="thin">
        <color indexed="64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/>
      <top style="thin">
        <color theme="4" tint="0.3999755851924192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theme="4" tint="0.39997558519241921"/>
      </left>
      <right style="thin">
        <color indexed="64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theme="4" tint="0.39997558519241921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44" fontId="4" fillId="0" borderId="0" applyFont="0" applyFill="0" applyBorder="0" applyAlignment="0" applyProtection="0"/>
  </cellStyleXfs>
  <cellXfs count="176">
    <xf numFmtId="0" fontId="0" fillId="0" borderId="0" xfId="0"/>
    <xf numFmtId="0" fontId="1" fillId="0" borderId="0" xfId="0" applyFont="1"/>
    <xf numFmtId="0" fontId="0" fillId="0" borderId="1" xfId="0" applyBorder="1"/>
    <xf numFmtId="17" fontId="5" fillId="3" borderId="8" xfId="0" applyNumberFormat="1" applyFont="1" applyFill="1" applyBorder="1" applyAlignment="1">
      <alignment horizontal="center"/>
    </xf>
    <xf numFmtId="17" fontId="3" fillId="3" borderId="8" xfId="0" applyNumberFormat="1" applyFont="1" applyFill="1" applyBorder="1" applyAlignment="1">
      <alignment horizontal="center"/>
    </xf>
    <xf numFmtId="0" fontId="3" fillId="3" borderId="8" xfId="0" applyFont="1" applyFill="1" applyBorder="1" applyAlignment="1">
      <alignment horizontal="center"/>
    </xf>
    <xf numFmtId="165" fontId="0" fillId="3" borderId="1" xfId="1" applyNumberFormat="1" applyFont="1" applyFill="1" applyBorder="1"/>
    <xf numFmtId="165" fontId="5" fillId="3" borderId="7" xfId="1" applyNumberFormat="1" applyFont="1" applyFill="1" applyBorder="1" applyAlignment="1">
      <alignment horizontal="center"/>
    </xf>
    <xf numFmtId="0" fontId="9" fillId="4" borderId="2" xfId="0" applyFont="1" applyFill="1" applyBorder="1" applyAlignment="1">
      <alignment horizontal="center"/>
    </xf>
    <xf numFmtId="165" fontId="5" fillId="3" borderId="11" xfId="1" applyNumberFormat="1" applyFont="1" applyFill="1" applyBorder="1" applyAlignment="1">
      <alignment horizontal="center"/>
    </xf>
    <xf numFmtId="17" fontId="5" fillId="3" borderId="12" xfId="0" applyNumberFormat="1" applyFont="1" applyFill="1" applyBorder="1" applyAlignment="1">
      <alignment horizontal="center"/>
    </xf>
    <xf numFmtId="165" fontId="0" fillId="3" borderId="13" xfId="1" applyNumberFormat="1" applyFont="1" applyFill="1" applyBorder="1"/>
    <xf numFmtId="0" fontId="10" fillId="2" borderId="15" xfId="0" applyFont="1" applyFill="1" applyBorder="1" applyAlignment="1">
      <alignment horizontal="center"/>
    </xf>
    <xf numFmtId="0" fontId="7" fillId="2" borderId="17" xfId="0" applyFont="1" applyFill="1" applyBorder="1"/>
    <xf numFmtId="0" fontId="9" fillId="4" borderId="19" xfId="0" applyFont="1" applyFill="1" applyBorder="1" applyAlignment="1">
      <alignment horizontal="center"/>
    </xf>
    <xf numFmtId="0" fontId="9" fillId="2" borderId="19" xfId="0" applyFont="1" applyFill="1" applyBorder="1" applyAlignment="1">
      <alignment horizontal="center"/>
    </xf>
    <xf numFmtId="0" fontId="2" fillId="5" borderId="0" xfId="0" applyFont="1" applyFill="1"/>
    <xf numFmtId="0" fontId="0" fillId="6" borderId="1" xfId="0" applyFill="1" applyBorder="1"/>
    <xf numFmtId="14" fontId="0" fillId="6" borderId="1" xfId="0" applyNumberFormat="1" applyFill="1" applyBorder="1" applyAlignment="1">
      <alignment horizontal="center"/>
    </xf>
    <xf numFmtId="44" fontId="0" fillId="6" borderId="1" xfId="0" applyNumberFormat="1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44" fontId="0" fillId="6" borderId="1" xfId="1" applyFont="1" applyFill="1" applyBorder="1" applyAlignment="1">
      <alignment horizontal="center"/>
    </xf>
    <xf numFmtId="0" fontId="2" fillId="5" borderId="1" xfId="0" applyFont="1" applyFill="1" applyBorder="1"/>
    <xf numFmtId="0" fontId="3" fillId="5" borderId="1" xfId="0" applyFont="1" applyFill="1" applyBorder="1"/>
    <xf numFmtId="165" fontId="0" fillId="3" borderId="11" xfId="1" applyNumberFormat="1" applyFont="1" applyFill="1" applyBorder="1" applyAlignment="1">
      <alignment horizontal="center"/>
    </xf>
    <xf numFmtId="165" fontId="0" fillId="3" borderId="13" xfId="1" applyNumberFormat="1" applyFont="1" applyFill="1" applyBorder="1" applyAlignment="1">
      <alignment horizontal="center"/>
    </xf>
    <xf numFmtId="165" fontId="0" fillId="3" borderId="1" xfId="1" applyNumberFormat="1" applyFont="1" applyFill="1" applyBorder="1" applyAlignment="1">
      <alignment horizontal="center"/>
    </xf>
    <xf numFmtId="165" fontId="0" fillId="3" borderId="14" xfId="1" applyNumberFormat="1" applyFont="1" applyFill="1" applyBorder="1" applyAlignment="1">
      <alignment horizontal="center"/>
    </xf>
    <xf numFmtId="165" fontId="0" fillId="3" borderId="10" xfId="1" applyNumberFormat="1" applyFont="1" applyFill="1" applyBorder="1" applyAlignment="1">
      <alignment horizontal="center"/>
    </xf>
    <xf numFmtId="164" fontId="0" fillId="3" borderId="1" xfId="1" applyNumberFormat="1" applyFont="1" applyFill="1" applyBorder="1" applyAlignment="1">
      <alignment horizontal="center"/>
    </xf>
    <xf numFmtId="0" fontId="7" fillId="2" borderId="16" xfId="0" applyFont="1" applyFill="1" applyBorder="1" applyAlignment="1">
      <alignment horizontal="center"/>
    </xf>
    <xf numFmtId="0" fontId="7" fillId="2" borderId="17" xfId="0" applyFont="1" applyFill="1" applyBorder="1" applyAlignment="1">
      <alignment horizontal="center"/>
    </xf>
    <xf numFmtId="0" fontId="7" fillId="2" borderId="18" xfId="0" applyFont="1" applyFill="1" applyBorder="1" applyAlignment="1">
      <alignment horizontal="center"/>
    </xf>
    <xf numFmtId="0" fontId="0" fillId="9" borderId="0" xfId="0" applyFill="1"/>
    <xf numFmtId="0" fontId="0" fillId="9" borderId="1" xfId="0" applyFill="1" applyBorder="1"/>
    <xf numFmtId="0" fontId="11" fillId="11" borderId="0" xfId="0" applyFont="1" applyFill="1" applyAlignment="1">
      <alignment horizontal="center"/>
    </xf>
    <xf numFmtId="0" fontId="11" fillId="11" borderId="1" xfId="0" applyFont="1" applyFill="1" applyBorder="1"/>
    <xf numFmtId="0" fontId="11" fillId="7" borderId="20" xfId="0" applyFont="1" applyFill="1" applyBorder="1" applyAlignment="1">
      <alignment horizontal="center"/>
    </xf>
    <xf numFmtId="0" fontId="11" fillId="7" borderId="1" xfId="0" applyFont="1" applyFill="1" applyBorder="1" applyAlignment="1">
      <alignment horizontal="center"/>
    </xf>
    <xf numFmtId="0" fontId="12" fillId="10" borderId="21" xfId="0" applyFont="1" applyFill="1" applyBorder="1"/>
    <xf numFmtId="0" fontId="12" fillId="9" borderId="1" xfId="0" applyFont="1" applyFill="1" applyBorder="1"/>
    <xf numFmtId="0" fontId="12" fillId="9" borderId="22" xfId="0" applyFont="1" applyFill="1" applyBorder="1"/>
    <xf numFmtId="0" fontId="12" fillId="10" borderId="22" xfId="0" applyFont="1" applyFill="1" applyBorder="1"/>
    <xf numFmtId="0" fontId="12" fillId="9" borderId="0" xfId="0" applyFont="1" applyFill="1"/>
    <xf numFmtId="0" fontId="12" fillId="10" borderId="9" xfId="0" applyFont="1" applyFill="1" applyBorder="1"/>
    <xf numFmtId="0" fontId="12" fillId="9" borderId="9" xfId="0" applyFont="1" applyFill="1" applyBorder="1"/>
    <xf numFmtId="44" fontId="5" fillId="8" borderId="1" xfId="0" applyNumberFormat="1" applyFont="1" applyFill="1" applyBorder="1"/>
    <xf numFmtId="0" fontId="0" fillId="0" borderId="0" xfId="0" applyAlignment="1">
      <alignment horizontal="center"/>
    </xf>
    <xf numFmtId="0" fontId="11" fillId="11" borderId="9" xfId="0" applyFont="1" applyFill="1" applyBorder="1" applyAlignment="1">
      <alignment horizontal="center"/>
    </xf>
    <xf numFmtId="0" fontId="12" fillId="9" borderId="1" xfId="0" applyFont="1" applyFill="1" applyBorder="1" applyAlignment="1">
      <alignment horizontal="center"/>
    </xf>
    <xf numFmtId="44" fontId="12" fillId="9" borderId="1" xfId="1" applyFont="1" applyFill="1" applyBorder="1"/>
    <xf numFmtId="44" fontId="12" fillId="9" borderId="1" xfId="1" applyFont="1" applyFill="1" applyBorder="1" applyAlignment="1">
      <alignment horizontal="center"/>
    </xf>
    <xf numFmtId="0" fontId="11" fillId="11" borderId="24" xfId="0" applyFont="1" applyFill="1" applyBorder="1" applyAlignment="1">
      <alignment horizontal="center"/>
    </xf>
    <xf numFmtId="44" fontId="13" fillId="4" borderId="1" xfId="1" applyFont="1" applyFill="1" applyBorder="1" applyAlignment="1">
      <alignment horizontal="center"/>
    </xf>
    <xf numFmtId="0" fontId="11" fillId="11" borderId="1" xfId="0" applyFont="1" applyFill="1" applyBorder="1" applyAlignment="1">
      <alignment horizontal="center"/>
    </xf>
    <xf numFmtId="0" fontId="0" fillId="9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12" fillId="10" borderId="27" xfId="0" applyFont="1" applyFill="1" applyBorder="1"/>
    <xf numFmtId="0" fontId="12" fillId="9" borderId="28" xfId="0" applyFont="1" applyFill="1" applyBorder="1"/>
    <xf numFmtId="0" fontId="12" fillId="10" borderId="28" xfId="0" applyFont="1" applyFill="1" applyBorder="1"/>
    <xf numFmtId="0" fontId="12" fillId="7" borderId="1" xfId="0" applyFont="1" applyFill="1" applyBorder="1" applyAlignment="1">
      <alignment horizontal="center"/>
    </xf>
    <xf numFmtId="0" fontId="12" fillId="7" borderId="1" xfId="0" applyFont="1" applyFill="1" applyBorder="1"/>
    <xf numFmtId="0" fontId="12" fillId="9" borderId="27" xfId="0" applyFont="1" applyFill="1" applyBorder="1"/>
    <xf numFmtId="16" fontId="12" fillId="9" borderId="1" xfId="0" applyNumberFormat="1" applyFont="1" applyFill="1" applyBorder="1" applyAlignment="1">
      <alignment horizontal="center"/>
    </xf>
    <xf numFmtId="0" fontId="12" fillId="10" borderId="24" xfId="0" applyFont="1" applyFill="1" applyBorder="1"/>
    <xf numFmtId="0" fontId="12" fillId="10" borderId="29" xfId="0" applyFont="1" applyFill="1" applyBorder="1"/>
    <xf numFmtId="14" fontId="0" fillId="6" borderId="1" xfId="0" applyNumberFormat="1" applyFill="1" applyBorder="1"/>
    <xf numFmtId="0" fontId="0" fillId="6" borderId="1" xfId="0" applyFill="1" applyBorder="1" applyAlignment="1">
      <alignment horizontal="right"/>
    </xf>
    <xf numFmtId="165" fontId="11" fillId="11" borderId="1" xfId="0" applyNumberFormat="1" applyFont="1" applyFill="1" applyBorder="1"/>
    <xf numFmtId="165" fontId="11" fillId="7" borderId="1" xfId="0" applyNumberFormat="1" applyFont="1" applyFill="1" applyBorder="1" applyAlignment="1">
      <alignment horizontal="center"/>
    </xf>
    <xf numFmtId="165" fontId="12" fillId="9" borderId="1" xfId="0" applyNumberFormat="1" applyFont="1" applyFill="1" applyBorder="1"/>
    <xf numFmtId="165" fontId="12" fillId="7" borderId="1" xfId="0" applyNumberFormat="1" applyFont="1" applyFill="1" applyBorder="1"/>
    <xf numFmtId="165" fontId="11" fillId="9" borderId="1" xfId="0" applyNumberFormat="1" applyFont="1" applyFill="1" applyBorder="1" applyAlignment="1">
      <alignment horizontal="center"/>
    </xf>
    <xf numFmtId="165" fontId="12" fillId="9" borderId="1" xfId="0" applyNumberFormat="1" applyFont="1" applyFill="1" applyBorder="1" applyAlignment="1">
      <alignment horizontal="right"/>
    </xf>
    <xf numFmtId="165" fontId="0" fillId="9" borderId="1" xfId="0" applyNumberFormat="1" applyFill="1" applyBorder="1"/>
    <xf numFmtId="165" fontId="0" fillId="0" borderId="1" xfId="0" applyNumberFormat="1" applyBorder="1"/>
    <xf numFmtId="44" fontId="0" fillId="6" borderId="1" xfId="1" applyFont="1" applyFill="1" applyBorder="1"/>
    <xf numFmtId="44" fontId="13" fillId="12" borderId="1" xfId="0" applyNumberFormat="1" applyFont="1" applyFill="1" applyBorder="1"/>
    <xf numFmtId="0" fontId="0" fillId="13" borderId="1" xfId="0" applyFill="1" applyBorder="1"/>
    <xf numFmtId="44" fontId="0" fillId="13" borderId="1" xfId="1" applyFont="1" applyFill="1" applyBorder="1"/>
    <xf numFmtId="44" fontId="13" fillId="4" borderId="26" xfId="0" applyNumberFormat="1" applyFont="1" applyFill="1" applyBorder="1" applyAlignment="1">
      <alignment vertical="center"/>
    </xf>
    <xf numFmtId="44" fontId="13" fillId="4" borderId="25" xfId="0" applyNumberFormat="1" applyFont="1" applyFill="1" applyBorder="1" applyAlignment="1">
      <alignment vertical="center"/>
    </xf>
    <xf numFmtId="44" fontId="5" fillId="8" borderId="2" xfId="0" applyNumberFormat="1" applyFont="1" applyFill="1" applyBorder="1"/>
    <xf numFmtId="0" fontId="12" fillId="9" borderId="29" xfId="0" applyFont="1" applyFill="1" applyBorder="1"/>
    <xf numFmtId="14" fontId="0" fillId="6" borderId="7" xfId="0" applyNumberFormat="1" applyFill="1" applyBorder="1"/>
    <xf numFmtId="0" fontId="0" fillId="6" borderId="7" xfId="0" applyFill="1" applyBorder="1"/>
    <xf numFmtId="44" fontId="0" fillId="6" borderId="7" xfId="1" applyFont="1" applyFill="1" applyBorder="1"/>
    <xf numFmtId="44" fontId="0" fillId="6" borderId="7" xfId="0" applyNumberFormat="1" applyFill="1" applyBorder="1" applyAlignment="1">
      <alignment horizontal="center"/>
    </xf>
    <xf numFmtId="44" fontId="13" fillId="4" borderId="30" xfId="0" applyNumberFormat="1" applyFont="1" applyFill="1" applyBorder="1" applyAlignment="1">
      <alignment vertical="center"/>
    </xf>
    <xf numFmtId="0" fontId="0" fillId="0" borderId="31" xfId="0" applyBorder="1"/>
    <xf numFmtId="0" fontId="0" fillId="12" borderId="1" xfId="0" applyFill="1" applyBorder="1"/>
    <xf numFmtId="44" fontId="5" fillId="8" borderId="25" xfId="0" applyNumberFormat="1" applyFont="1" applyFill="1" applyBorder="1"/>
    <xf numFmtId="165" fontId="11" fillId="14" borderId="1" xfId="0" applyNumberFormat="1" applyFont="1" applyFill="1" applyBorder="1" applyAlignment="1">
      <alignment horizontal="center"/>
    </xf>
    <xf numFmtId="0" fontId="11" fillId="9" borderId="1" xfId="0" applyFont="1" applyFill="1" applyBorder="1" applyAlignment="1">
      <alignment horizontal="center"/>
    </xf>
    <xf numFmtId="14" fontId="0" fillId="6" borderId="33" xfId="0" applyNumberFormat="1" applyFill="1" applyBorder="1"/>
    <xf numFmtId="0" fontId="0" fillId="6" borderId="34" xfId="0" applyFill="1" applyBorder="1"/>
    <xf numFmtId="44" fontId="0" fillId="6" borderId="34" xfId="1" applyFont="1" applyFill="1" applyBorder="1"/>
    <xf numFmtId="44" fontId="0" fillId="6" borderId="34" xfId="0" applyNumberFormat="1" applyFill="1" applyBorder="1" applyAlignment="1">
      <alignment horizontal="center"/>
    </xf>
    <xf numFmtId="44" fontId="13" fillId="4" borderId="32" xfId="0" applyNumberFormat="1" applyFont="1" applyFill="1" applyBorder="1" applyAlignment="1">
      <alignment vertical="center"/>
    </xf>
    <xf numFmtId="0" fontId="0" fillId="0" borderId="35" xfId="0" applyBorder="1"/>
    <xf numFmtId="44" fontId="5" fillId="8" borderId="33" xfId="0" applyNumberFormat="1" applyFont="1" applyFill="1" applyBorder="1"/>
    <xf numFmtId="0" fontId="0" fillId="13" borderId="24" xfId="0" applyFill="1" applyBorder="1"/>
    <xf numFmtId="44" fontId="5" fillId="8" borderId="32" xfId="0" applyNumberFormat="1" applyFont="1" applyFill="1" applyBorder="1"/>
    <xf numFmtId="0" fontId="17" fillId="10" borderId="22" xfId="0" applyFont="1" applyFill="1" applyBorder="1" applyAlignment="1">
      <alignment horizontal="center"/>
    </xf>
    <xf numFmtId="0" fontId="17" fillId="9" borderId="22" xfId="0" applyFont="1" applyFill="1" applyBorder="1" applyAlignment="1">
      <alignment horizontal="center"/>
    </xf>
    <xf numFmtId="0" fontId="17" fillId="9" borderId="23" xfId="0" applyFont="1" applyFill="1" applyBorder="1" applyAlignment="1">
      <alignment horizontal="center"/>
    </xf>
    <xf numFmtId="14" fontId="0" fillId="6" borderId="34" xfId="0" applyNumberFormat="1" applyFill="1" applyBorder="1"/>
    <xf numFmtId="0" fontId="0" fillId="6" borderId="33" xfId="0" applyFill="1" applyBorder="1"/>
    <xf numFmtId="44" fontId="0" fillId="6" borderId="33" xfId="1" applyFont="1" applyFill="1" applyBorder="1"/>
    <xf numFmtId="44" fontId="0" fillId="6" borderId="33" xfId="0" applyNumberFormat="1" applyFill="1" applyBorder="1" applyAlignment="1">
      <alignment horizontal="center"/>
    </xf>
    <xf numFmtId="0" fontId="0" fillId="6" borderId="8" xfId="0" applyFill="1" applyBorder="1"/>
    <xf numFmtId="44" fontId="0" fillId="6" borderId="8" xfId="1" applyFont="1" applyFill="1" applyBorder="1"/>
    <xf numFmtId="44" fontId="0" fillId="6" borderId="8" xfId="0" applyNumberFormat="1" applyFill="1" applyBorder="1" applyAlignment="1">
      <alignment horizontal="center"/>
    </xf>
    <xf numFmtId="44" fontId="5" fillId="8" borderId="37" xfId="0" applyNumberFormat="1" applyFont="1" applyFill="1" applyBorder="1"/>
    <xf numFmtId="44" fontId="13" fillId="4" borderId="37" xfId="0" applyNumberFormat="1" applyFont="1" applyFill="1" applyBorder="1" applyAlignment="1">
      <alignment vertical="center"/>
    </xf>
    <xf numFmtId="14" fontId="0" fillId="6" borderId="8" xfId="0" applyNumberFormat="1" applyFill="1" applyBorder="1"/>
    <xf numFmtId="0" fontId="12" fillId="12" borderId="1" xfId="0" applyFont="1" applyFill="1" applyBorder="1" applyAlignment="1">
      <alignment horizontal="center"/>
    </xf>
    <xf numFmtId="0" fontId="12" fillId="12" borderId="1" xfId="0" applyFont="1" applyFill="1" applyBorder="1"/>
    <xf numFmtId="0" fontId="17" fillId="9" borderId="25" xfId="0" applyFont="1" applyFill="1" applyBorder="1" applyAlignment="1">
      <alignment horizontal="center"/>
    </xf>
    <xf numFmtId="0" fontId="17" fillId="9" borderId="38" xfId="0" applyFont="1" applyFill="1" applyBorder="1" applyAlignment="1">
      <alignment horizontal="center"/>
    </xf>
    <xf numFmtId="0" fontId="12" fillId="9" borderId="10" xfId="0" applyFont="1" applyFill="1" applyBorder="1" applyAlignment="1">
      <alignment horizontal="center"/>
    </xf>
    <xf numFmtId="44" fontId="12" fillId="9" borderId="10" xfId="1" applyFont="1" applyFill="1" applyBorder="1"/>
    <xf numFmtId="0" fontId="12" fillId="9" borderId="10" xfId="0" applyFont="1" applyFill="1" applyBorder="1"/>
    <xf numFmtId="0" fontId="17" fillId="9" borderId="1" xfId="0" applyFon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17" fillId="9" borderId="30" xfId="0" applyFont="1" applyFill="1" applyBorder="1" applyAlignment="1">
      <alignment horizontal="center"/>
    </xf>
    <xf numFmtId="0" fontId="12" fillId="9" borderId="20" xfId="0" applyFont="1" applyFill="1" applyBorder="1" applyAlignment="1">
      <alignment horizontal="center"/>
    </xf>
    <xf numFmtId="44" fontId="12" fillId="9" borderId="20" xfId="1" applyFont="1" applyFill="1" applyBorder="1" applyAlignment="1">
      <alignment horizontal="center"/>
    </xf>
    <xf numFmtId="44" fontId="12" fillId="9" borderId="20" xfId="1" applyFont="1" applyFill="1" applyBorder="1"/>
    <xf numFmtId="44" fontId="12" fillId="9" borderId="20" xfId="0" applyNumberFormat="1" applyFont="1" applyFill="1" applyBorder="1" applyAlignment="1">
      <alignment horizontal="center"/>
    </xf>
    <xf numFmtId="0" fontId="17" fillId="10" borderId="25" xfId="0" applyFont="1" applyFill="1" applyBorder="1" applyAlignment="1">
      <alignment horizontal="center"/>
    </xf>
    <xf numFmtId="0" fontId="12" fillId="7" borderId="20" xfId="0" applyFont="1" applyFill="1" applyBorder="1" applyAlignment="1">
      <alignment horizontal="center"/>
    </xf>
    <xf numFmtId="44" fontId="12" fillId="7" borderId="20" xfId="1" applyFont="1" applyFill="1" applyBorder="1" applyAlignment="1">
      <alignment horizontal="center"/>
    </xf>
    <xf numFmtId="44" fontId="12" fillId="7" borderId="20" xfId="0" applyNumberFormat="1" applyFont="1" applyFill="1" applyBorder="1" applyAlignment="1">
      <alignment horizontal="center"/>
    </xf>
    <xf numFmtId="14" fontId="0" fillId="6" borderId="24" xfId="0" applyNumberFormat="1" applyFill="1" applyBorder="1"/>
    <xf numFmtId="0" fontId="0" fillId="6" borderId="10" xfId="0" applyFill="1" applyBorder="1"/>
    <xf numFmtId="44" fontId="0" fillId="6" borderId="10" xfId="1" applyFont="1" applyFill="1" applyBorder="1"/>
    <xf numFmtId="44" fontId="0" fillId="6" borderId="10" xfId="0" applyNumberFormat="1" applyFill="1" applyBorder="1" applyAlignment="1">
      <alignment horizontal="center"/>
    </xf>
    <xf numFmtId="44" fontId="5" fillId="8" borderId="39" xfId="0" applyNumberFormat="1" applyFont="1" applyFill="1" applyBorder="1"/>
    <xf numFmtId="44" fontId="13" fillId="4" borderId="39" xfId="0" applyNumberFormat="1" applyFont="1" applyFill="1" applyBorder="1" applyAlignment="1">
      <alignment vertical="center"/>
    </xf>
    <xf numFmtId="44" fontId="5" fillId="8" borderId="10" xfId="0" applyNumberFormat="1" applyFont="1" applyFill="1" applyBorder="1" applyAlignment="1">
      <alignment horizontal="center"/>
    </xf>
    <xf numFmtId="44" fontId="5" fillId="8" borderId="24" xfId="0" applyNumberFormat="1" applyFont="1" applyFill="1" applyBorder="1" applyAlignment="1">
      <alignment horizontal="center"/>
    </xf>
    <xf numFmtId="44" fontId="5" fillId="8" borderId="7" xfId="0" applyNumberFormat="1" applyFont="1" applyFill="1" applyBorder="1" applyAlignment="1">
      <alignment horizontal="center"/>
    </xf>
    <xf numFmtId="44" fontId="16" fillId="8" borderId="10" xfId="0" applyNumberFormat="1" applyFont="1" applyFill="1" applyBorder="1" applyAlignment="1">
      <alignment horizontal="center"/>
    </xf>
    <xf numFmtId="44" fontId="16" fillId="8" borderId="24" xfId="0" applyNumberFormat="1" applyFont="1" applyFill="1" applyBorder="1" applyAlignment="1">
      <alignment horizontal="center"/>
    </xf>
    <xf numFmtId="44" fontId="16" fillId="8" borderId="33" xfId="0" applyNumberFormat="1" applyFont="1" applyFill="1" applyBorder="1" applyAlignment="1">
      <alignment horizontal="center"/>
    </xf>
    <xf numFmtId="44" fontId="5" fillId="8" borderId="36" xfId="0" applyNumberFormat="1" applyFont="1" applyFill="1" applyBorder="1" applyAlignment="1">
      <alignment horizontal="center"/>
    </xf>
    <xf numFmtId="44" fontId="5" fillId="8" borderId="33" xfId="0" applyNumberFormat="1" applyFont="1" applyFill="1" applyBorder="1" applyAlignment="1">
      <alignment horizontal="center"/>
    </xf>
    <xf numFmtId="44" fontId="5" fillId="8" borderId="10" xfId="1" applyFont="1" applyFill="1" applyBorder="1" applyAlignment="1">
      <alignment horizontal="center"/>
    </xf>
    <xf numFmtId="44" fontId="5" fillId="8" borderId="24" xfId="1" applyFont="1" applyFill="1" applyBorder="1" applyAlignment="1">
      <alignment horizontal="center"/>
    </xf>
    <xf numFmtId="44" fontId="5" fillId="8" borderId="7" xfId="1" applyFont="1" applyFill="1" applyBorder="1" applyAlignment="1">
      <alignment horizontal="center"/>
    </xf>
    <xf numFmtId="44" fontId="5" fillId="8" borderId="26" xfId="0" applyNumberFormat="1" applyFont="1" applyFill="1" applyBorder="1" applyAlignment="1">
      <alignment horizontal="center"/>
    </xf>
    <xf numFmtId="44" fontId="5" fillId="8" borderId="25" xfId="0" applyNumberFormat="1" applyFont="1" applyFill="1" applyBorder="1" applyAlignment="1">
      <alignment horizontal="center"/>
    </xf>
    <xf numFmtId="44" fontId="5" fillId="8" borderId="30" xfId="0" applyNumberFormat="1" applyFont="1" applyFill="1" applyBorder="1" applyAlignment="1">
      <alignment horizontal="center"/>
    </xf>
    <xf numFmtId="44" fontId="15" fillId="8" borderId="10" xfId="0" applyNumberFormat="1" applyFont="1" applyFill="1" applyBorder="1" applyAlignment="1">
      <alignment horizontal="center"/>
    </xf>
    <xf numFmtId="44" fontId="15" fillId="8" borderId="24" xfId="0" applyNumberFormat="1" applyFont="1" applyFill="1" applyBorder="1" applyAlignment="1">
      <alignment horizontal="center"/>
    </xf>
    <xf numFmtId="44" fontId="15" fillId="8" borderId="7" xfId="0" applyNumberFormat="1" applyFont="1" applyFill="1" applyBorder="1" applyAlignment="1">
      <alignment horizontal="center"/>
    </xf>
    <xf numFmtId="44" fontId="5" fillId="8" borderId="10" xfId="0" applyNumberFormat="1" applyFont="1" applyFill="1" applyBorder="1" applyAlignment="1">
      <alignment horizontal="center" vertical="center"/>
    </xf>
    <xf numFmtId="44" fontId="5" fillId="8" borderId="24" xfId="0" applyNumberFormat="1" applyFont="1" applyFill="1" applyBorder="1" applyAlignment="1">
      <alignment horizontal="center" vertical="center"/>
    </xf>
    <xf numFmtId="44" fontId="5" fillId="8" borderId="7" xfId="0" applyNumberFormat="1" applyFont="1" applyFill="1" applyBorder="1" applyAlignment="1">
      <alignment horizontal="center" vertical="center"/>
    </xf>
    <xf numFmtId="0" fontId="5" fillId="8" borderId="24" xfId="0" applyFont="1" applyFill="1" applyBorder="1" applyAlignment="1">
      <alignment horizontal="center"/>
    </xf>
    <xf numFmtId="0" fontId="5" fillId="8" borderId="7" xfId="0" applyFont="1" applyFill="1" applyBorder="1" applyAlignment="1">
      <alignment horizontal="center"/>
    </xf>
    <xf numFmtId="0" fontId="5" fillId="8" borderId="24" xfId="0" applyFont="1" applyFill="1" applyBorder="1" applyAlignment="1">
      <alignment horizontal="center" vertical="center"/>
    </xf>
    <xf numFmtId="0" fontId="5" fillId="8" borderId="7" xfId="0" applyFont="1" applyFill="1" applyBorder="1" applyAlignment="1">
      <alignment horizontal="center" vertical="center"/>
    </xf>
    <xf numFmtId="0" fontId="8" fillId="4" borderId="5" xfId="0" applyFont="1" applyFill="1" applyBorder="1" applyAlignment="1">
      <alignment horizontal="center"/>
    </xf>
    <xf numFmtId="0" fontId="8" fillId="4" borderId="6" xfId="0" applyFont="1" applyFill="1" applyBorder="1" applyAlignment="1">
      <alignment horizontal="center"/>
    </xf>
    <xf numFmtId="49" fontId="8" fillId="4" borderId="3" xfId="1" applyNumberFormat="1" applyFont="1" applyFill="1" applyBorder="1" applyAlignment="1">
      <alignment horizontal="center"/>
    </xf>
    <xf numFmtId="49" fontId="8" fillId="4" borderId="4" xfId="1" applyNumberFormat="1" applyFont="1" applyFill="1" applyBorder="1" applyAlignment="1">
      <alignment horizontal="center"/>
    </xf>
    <xf numFmtId="44" fontId="18" fillId="7" borderId="7" xfId="0" applyNumberFormat="1" applyFont="1" applyFill="1" applyBorder="1" applyAlignment="1">
      <alignment vertical="center"/>
    </xf>
    <xf numFmtId="44" fontId="12" fillId="9" borderId="20" xfId="0" applyNumberFormat="1" applyFont="1" applyFill="1" applyBorder="1"/>
    <xf numFmtId="44" fontId="12" fillId="9" borderId="26" xfId="1" applyFont="1" applyFill="1" applyBorder="1"/>
    <xf numFmtId="44" fontId="14" fillId="7" borderId="1" xfId="0" applyNumberFormat="1" applyFont="1" applyFill="1" applyBorder="1" applyAlignment="1">
      <alignment vertical="center"/>
    </xf>
    <xf numFmtId="0" fontId="14" fillId="7" borderId="1" xfId="0" applyFont="1" applyFill="1" applyBorder="1" applyAlignment="1">
      <alignment vertical="center"/>
    </xf>
    <xf numFmtId="0" fontId="12" fillId="14" borderId="1" xfId="0" applyFont="1" applyFill="1" applyBorder="1" applyAlignment="1">
      <alignment horizontal="center"/>
    </xf>
    <xf numFmtId="44" fontId="0" fillId="0" borderId="0" xfId="0" applyNumberFormat="1"/>
    <xf numFmtId="44" fontId="0" fillId="15" borderId="1" xfId="1" applyFont="1" applyFill="1" applyBorder="1"/>
  </cellXfs>
  <cellStyles count="2">
    <cellStyle name="Moneda" xfId="1" builtinId="4"/>
    <cellStyle name="Normal" xfId="0" builtinId="0"/>
  </cellStyles>
  <dxfs count="14">
    <dxf>
      <font>
        <strike val="0"/>
        <outline val="0"/>
        <shadow val="0"/>
        <u val="none"/>
        <vertAlign val="baseline"/>
        <sz val="11"/>
        <name val="Times New Roman"/>
        <family val="1"/>
        <scheme val="none"/>
      </font>
      <numFmt numFmtId="165" formatCode="&quot;$&quot;\ #,##0.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Times New Roman"/>
        <family val="1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Times New Roman"/>
        <family val="1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Times New Roman"/>
        <family val="1"/>
        <scheme val="none"/>
      </font>
      <border outline="0">
        <right style="thin">
          <color indexed="64"/>
        </right>
      </border>
    </dxf>
    <dxf>
      <font>
        <strike val="0"/>
        <outline val="0"/>
        <shadow val="0"/>
        <u val="none"/>
        <vertAlign val="baseline"/>
        <sz val="1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name val="Times New Roman"/>
        <family val="1"/>
        <scheme val="none"/>
      </font>
      <fill>
        <patternFill patternType="solid">
          <fgColor indexed="64"/>
          <bgColor theme="6" tint="-0.249977111117893"/>
        </patternFill>
      </fill>
    </dxf>
    <dxf>
      <font>
        <strike val="0"/>
        <outline val="0"/>
        <shadow val="0"/>
        <u val="none"/>
        <vertAlign val="baseline"/>
        <sz val="11"/>
        <name val="Times New Roman"/>
        <family val="1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Times New Roman"/>
        <family val="1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Times New Roman"/>
        <family val="1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Times New Roman"/>
        <family val="1"/>
        <scheme val="none"/>
      </font>
      <border outline="0">
        <right style="thin">
          <color indexed="64"/>
        </right>
      </border>
    </dxf>
    <dxf>
      <font>
        <strike val="0"/>
        <outline val="0"/>
        <shadow val="0"/>
        <u val="none"/>
        <vertAlign val="baseline"/>
        <sz val="1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name val="Times New Roman"/>
        <family val="1"/>
        <scheme val="none"/>
      </font>
      <fill>
        <patternFill patternType="solid">
          <fgColor indexed="64"/>
          <bgColor theme="6" tint="-0.249977111117893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Resumen</a:t>
            </a:r>
          </a:p>
        </c:rich>
      </c:tx>
      <c:layout>
        <c:manualLayout>
          <c:xMode val="edge"/>
          <c:yMode val="edge"/>
          <c:x val="3.3705541770057885E-3"/>
          <c:y val="0"/>
        </c:manualLayout>
      </c:layout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CONTROL!$E$2</c:f>
              <c:strCache>
                <c:ptCount val="1"/>
                <c:pt idx="0">
                  <c:v>Valor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CONTROL!$D$3:$D$6</c:f>
              <c:strCache>
                <c:ptCount val="4"/>
                <c:pt idx="0">
                  <c:v>Ventas Totales</c:v>
                </c:pt>
                <c:pt idx="1">
                  <c:v>Costos Totales</c:v>
                </c:pt>
                <c:pt idx="2">
                  <c:v>Ganancia Neta</c:v>
                </c:pt>
                <c:pt idx="3">
                  <c:v>Valor de Stock</c:v>
                </c:pt>
              </c:strCache>
            </c:strRef>
          </c:cat>
          <c:val>
            <c:numRef>
              <c:f>CONTROL!$E$3:$E$6</c:f>
              <c:numCache>
                <c:formatCode>General</c:formatCode>
                <c:ptCount val="4"/>
                <c:pt idx="0">
                  <c:v>8702400</c:v>
                </c:pt>
                <c:pt idx="1">
                  <c:v>120984.34</c:v>
                </c:pt>
                <c:pt idx="2">
                  <c:v>8581415.6600000001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23E-424C-AC1B-B030CDE03A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19050</xdr:colOff>
      <xdr:row>0</xdr:row>
      <xdr:rowOff>238125</xdr:rowOff>
    </xdr:from>
    <xdr:ext cx="4248150" cy="325755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DA13124-57D6-4D87-AB38-5071F7DD2F45}" name="InventarioTbl3" displayName="InventarioTbl3" ref="A1:D327" headerRowDxfId="13" dataDxfId="12" totalsRowDxfId="11">
  <autoFilter ref="A1:D327" xr:uid="{CDA13124-57D6-4D87-AB38-5071F7DD2F45}"/>
  <tableColumns count="4">
    <tableColumn id="2" xr3:uid="{EF04769B-7F8B-42AF-BF91-2D0848F6B73A}" name="ESPECIE" dataDxfId="10"/>
    <tableColumn id="4" xr3:uid="{84206C2B-AC5D-4721-9D9A-EF49CB8E0673}" name="Maceta (LTS.)" dataDxfId="9"/>
    <tableColumn id="6" xr3:uid="{426BFAD7-5167-4FD7-B7BE-D129C62A71DD}" name="Cantidad" dataDxfId="8"/>
    <tableColumn id="7" xr3:uid="{F9997185-FE8D-482B-BBCF-2B9B0F4C0428}" name="Costo Unit." dataDxfId="7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77BB674-7A42-415F-88D7-9C9C8DE0BB41}" name="InventarioTbl34" displayName="InventarioTbl34" ref="A1:D327" headerRowDxfId="6" dataDxfId="5" totalsRowDxfId="4">
  <autoFilter ref="A1:D327" xr:uid="{077BB674-7A42-415F-88D7-9C9C8DE0BB41}"/>
  <tableColumns count="4">
    <tableColumn id="2" xr3:uid="{E1C66C1D-21A4-4FD1-8628-931B55826564}" name="ESPECIE" dataDxfId="3"/>
    <tableColumn id="4" xr3:uid="{1A02B586-1335-4E77-872B-818E291307DE}" name="Maceta (LTS.)" dataDxfId="2"/>
    <tableColumn id="6" xr3:uid="{5C7AA5B6-B612-4B36-A82B-49C4E44EFE65}" name="Cantidad" dataDxfId="1"/>
    <tableColumn id="7" xr3:uid="{3078D4AC-FA55-4008-9D6B-4F232A1F37EE}" name="Costo Unit.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8"/>
  <sheetViews>
    <sheetView topLeftCell="A36" workbookViewId="0">
      <selection activeCell="A39" sqref="A39:XFD41"/>
    </sheetView>
  </sheetViews>
  <sheetFormatPr baseColWidth="10" defaultColWidth="9.140625" defaultRowHeight="15" x14ac:dyDescent="0.25"/>
  <cols>
    <col min="1" max="1" width="32.42578125" customWidth="1"/>
    <col min="2" max="3" width="18" customWidth="1"/>
    <col min="4" max="4" width="22.85546875" customWidth="1"/>
    <col min="5" max="5" width="15.28515625" customWidth="1"/>
  </cols>
  <sheetData>
    <row r="1" spans="1:5" ht="21" x14ac:dyDescent="0.35">
      <c r="A1" s="1" t="s">
        <v>0</v>
      </c>
    </row>
    <row r="2" spans="1:5" x14ac:dyDescent="0.25">
      <c r="D2" t="s">
        <v>1</v>
      </c>
      <c r="E2" t="s">
        <v>2</v>
      </c>
    </row>
    <row r="3" spans="1:5" x14ac:dyDescent="0.25">
      <c r="A3" t="s">
        <v>3</v>
      </c>
      <c r="B3">
        <f>SUM(Ventas!H:H)</f>
        <v>8702400</v>
      </c>
      <c r="D3" t="s">
        <v>3</v>
      </c>
      <c r="E3">
        <f>B3</f>
        <v>8702400</v>
      </c>
    </row>
    <row r="4" spans="1:5" x14ac:dyDescent="0.25">
      <c r="A4" t="s">
        <v>4</v>
      </c>
      <c r="B4">
        <f>SUM(Costos!D:D)</f>
        <v>120984.34</v>
      </c>
      <c r="D4" t="s">
        <v>4</v>
      </c>
      <c r="E4">
        <f>B4</f>
        <v>120984.34</v>
      </c>
    </row>
    <row r="5" spans="1:5" x14ac:dyDescent="0.25">
      <c r="A5" t="s">
        <v>5</v>
      </c>
      <c r="B5">
        <f>B3-B4</f>
        <v>8581415.6600000001</v>
      </c>
      <c r="D5" t="s">
        <v>5</v>
      </c>
      <c r="E5">
        <f>B5</f>
        <v>8581415.6600000001</v>
      </c>
    </row>
    <row r="6" spans="1:5" x14ac:dyDescent="0.25">
      <c r="A6" t="s">
        <v>6</v>
      </c>
      <c r="B6" t="e">
        <f>SUM(#REF!)</f>
        <v>#REF!</v>
      </c>
      <c r="D6" t="s">
        <v>6</v>
      </c>
      <c r="E6" t="e">
        <f>B6</f>
        <v>#REF!</v>
      </c>
    </row>
    <row r="11" spans="1:5" x14ac:dyDescent="0.25">
      <c r="A11" s="78" t="s">
        <v>305</v>
      </c>
      <c r="B11" s="78"/>
    </row>
    <row r="12" spans="1:5" x14ac:dyDescent="0.25">
      <c r="A12" s="78" t="s">
        <v>355</v>
      </c>
      <c r="B12" s="79">
        <v>10900</v>
      </c>
    </row>
    <row r="13" spans="1:5" x14ac:dyDescent="0.25">
      <c r="A13" s="78" t="s">
        <v>352</v>
      </c>
      <c r="B13" s="79">
        <v>18000</v>
      </c>
    </row>
    <row r="14" spans="1:5" x14ac:dyDescent="0.25">
      <c r="A14" s="78" t="s">
        <v>356</v>
      </c>
      <c r="B14" s="79">
        <v>20000</v>
      </c>
    </row>
    <row r="15" spans="1:5" x14ac:dyDescent="0.25">
      <c r="A15" s="78" t="s">
        <v>358</v>
      </c>
      <c r="B15" s="79">
        <v>571200</v>
      </c>
    </row>
    <row r="16" spans="1:5" x14ac:dyDescent="0.25">
      <c r="A16" s="79" t="s">
        <v>353</v>
      </c>
      <c r="B16" s="79">
        <v>25000</v>
      </c>
    </row>
    <row r="17" spans="1:4" x14ac:dyDescent="0.25">
      <c r="A17" s="78" t="s">
        <v>359</v>
      </c>
      <c r="B17" s="79">
        <v>175000</v>
      </c>
    </row>
    <row r="18" spans="1:4" x14ac:dyDescent="0.25">
      <c r="A18" s="78" t="s">
        <v>358</v>
      </c>
      <c r="B18" s="79">
        <v>150000</v>
      </c>
      <c r="D18" t="s">
        <v>357</v>
      </c>
    </row>
    <row r="19" spans="1:4" x14ac:dyDescent="0.25">
      <c r="A19" s="78" t="s">
        <v>358</v>
      </c>
      <c r="B19" s="79">
        <v>187000</v>
      </c>
    </row>
    <row r="20" spans="1:4" x14ac:dyDescent="0.25">
      <c r="A20" s="78" t="s">
        <v>359</v>
      </c>
      <c r="B20" s="79">
        <v>193000</v>
      </c>
    </row>
    <row r="21" spans="1:4" x14ac:dyDescent="0.25">
      <c r="A21" s="78" t="s">
        <v>360</v>
      </c>
      <c r="B21" s="79">
        <v>223800</v>
      </c>
    </row>
    <row r="22" spans="1:4" x14ac:dyDescent="0.25">
      <c r="A22" s="78" t="s">
        <v>304</v>
      </c>
      <c r="B22" s="79">
        <v>152000</v>
      </c>
    </row>
    <row r="23" spans="1:4" x14ac:dyDescent="0.25">
      <c r="A23" s="78" t="s">
        <v>383</v>
      </c>
      <c r="B23" s="79">
        <v>25600</v>
      </c>
    </row>
    <row r="24" spans="1:4" x14ac:dyDescent="0.25">
      <c r="A24" s="78" t="s">
        <v>443</v>
      </c>
      <c r="B24" s="79">
        <v>112000</v>
      </c>
    </row>
    <row r="25" spans="1:4" x14ac:dyDescent="0.25">
      <c r="A25" s="78" t="s">
        <v>447</v>
      </c>
      <c r="B25" s="79">
        <v>60000</v>
      </c>
    </row>
    <row r="26" spans="1:4" x14ac:dyDescent="0.25">
      <c r="A26" s="78" t="s">
        <v>430</v>
      </c>
      <c r="B26" s="79">
        <v>45000</v>
      </c>
    </row>
    <row r="27" spans="1:4" x14ac:dyDescent="0.25">
      <c r="A27" s="78" t="s">
        <v>502</v>
      </c>
      <c r="B27" s="79">
        <v>30000</v>
      </c>
    </row>
    <row r="28" spans="1:4" x14ac:dyDescent="0.25">
      <c r="A28" s="78" t="s">
        <v>250</v>
      </c>
      <c r="B28" s="79">
        <v>25000</v>
      </c>
    </row>
    <row r="29" spans="1:4" x14ac:dyDescent="0.25">
      <c r="A29" s="78" t="s">
        <v>511</v>
      </c>
      <c r="B29" s="79">
        <v>80000</v>
      </c>
    </row>
    <row r="30" spans="1:4" x14ac:dyDescent="0.25">
      <c r="A30" s="78" t="s">
        <v>485</v>
      </c>
      <c r="B30" s="79">
        <v>80000</v>
      </c>
    </row>
    <row r="31" spans="1:4" x14ac:dyDescent="0.25">
      <c r="A31" s="78" t="s">
        <v>443</v>
      </c>
      <c r="B31" s="79">
        <v>235803</v>
      </c>
    </row>
    <row r="32" spans="1:4" x14ac:dyDescent="0.25">
      <c r="A32" s="78" t="s">
        <v>509</v>
      </c>
      <c r="B32" s="79">
        <v>350000</v>
      </c>
    </row>
    <row r="33" spans="1:2" x14ac:dyDescent="0.25">
      <c r="A33" s="78" t="s">
        <v>486</v>
      </c>
      <c r="B33" s="79">
        <v>287000</v>
      </c>
    </row>
    <row r="34" spans="1:2" x14ac:dyDescent="0.25">
      <c r="A34" s="78" t="s">
        <v>510</v>
      </c>
      <c r="B34" s="79">
        <v>246000</v>
      </c>
    </row>
    <row r="35" spans="1:2" x14ac:dyDescent="0.25">
      <c r="A35" s="78" t="s">
        <v>528</v>
      </c>
      <c r="B35" s="79">
        <v>498000</v>
      </c>
    </row>
    <row r="36" spans="1:2" x14ac:dyDescent="0.25">
      <c r="A36" s="78" t="s">
        <v>510</v>
      </c>
      <c r="B36" s="79">
        <v>239000</v>
      </c>
    </row>
    <row r="37" spans="1:2" x14ac:dyDescent="0.25">
      <c r="A37" s="78" t="s">
        <v>462</v>
      </c>
      <c r="B37" s="79">
        <v>80000</v>
      </c>
    </row>
    <row r="38" spans="1:2" x14ac:dyDescent="0.25">
      <c r="A38" s="78" t="s">
        <v>525</v>
      </c>
      <c r="B38" s="79">
        <v>30000</v>
      </c>
    </row>
    <row r="39" spans="1:2" x14ac:dyDescent="0.25">
      <c r="A39" s="78" t="s">
        <v>510</v>
      </c>
      <c r="B39" s="79">
        <v>221000</v>
      </c>
    </row>
    <row r="40" spans="1:2" x14ac:dyDescent="0.25">
      <c r="A40" s="78" t="s">
        <v>510</v>
      </c>
      <c r="B40" s="79">
        <v>164000</v>
      </c>
    </row>
    <row r="41" spans="1:2" x14ac:dyDescent="0.25">
      <c r="A41" s="78" t="s">
        <v>510</v>
      </c>
      <c r="B41" s="79">
        <v>187000</v>
      </c>
    </row>
    <row r="42" spans="1:2" x14ac:dyDescent="0.25">
      <c r="A42" s="78" t="s">
        <v>565</v>
      </c>
      <c r="B42" s="79">
        <v>84000</v>
      </c>
    </row>
    <row r="43" spans="1:2" x14ac:dyDescent="0.25">
      <c r="A43" s="78" t="s">
        <v>462</v>
      </c>
      <c r="B43" s="79">
        <v>60000</v>
      </c>
    </row>
    <row r="44" spans="1:2" x14ac:dyDescent="0.25">
      <c r="A44" s="78" t="s">
        <v>562</v>
      </c>
      <c r="B44" s="79">
        <v>20932</v>
      </c>
    </row>
    <row r="45" spans="1:2" x14ac:dyDescent="0.25">
      <c r="A45" s="78" t="s">
        <v>570</v>
      </c>
      <c r="B45" s="79">
        <v>253000</v>
      </c>
    </row>
    <row r="46" spans="1:2" x14ac:dyDescent="0.25">
      <c r="A46" s="78" t="s">
        <v>564</v>
      </c>
      <c r="B46" s="79">
        <f>11656+14101.46</f>
        <v>25757.46</v>
      </c>
    </row>
    <row r="47" spans="1:2" x14ac:dyDescent="0.25">
      <c r="A47" s="78" t="s">
        <v>571</v>
      </c>
      <c r="B47" s="79">
        <v>15000</v>
      </c>
    </row>
    <row r="48" spans="1:2" x14ac:dyDescent="0.25">
      <c r="A48" s="78" t="s">
        <v>573</v>
      </c>
      <c r="B48" s="79">
        <v>30000</v>
      </c>
    </row>
    <row r="49" spans="1:2" x14ac:dyDescent="0.25">
      <c r="A49" s="78" t="s">
        <v>462</v>
      </c>
      <c r="B49" s="79">
        <v>60000</v>
      </c>
    </row>
    <row r="50" spans="1:2" x14ac:dyDescent="0.25">
      <c r="A50" s="78" t="s">
        <v>81</v>
      </c>
      <c r="B50" s="79">
        <v>170000</v>
      </c>
    </row>
    <row r="51" spans="1:2" x14ac:dyDescent="0.25">
      <c r="A51" s="78" t="s">
        <v>572</v>
      </c>
      <c r="B51" s="79">
        <v>118000</v>
      </c>
    </row>
    <row r="52" spans="1:2" x14ac:dyDescent="0.25">
      <c r="A52" s="78" t="s">
        <v>623</v>
      </c>
      <c r="B52" s="79">
        <v>16000</v>
      </c>
    </row>
    <row r="53" spans="1:2" x14ac:dyDescent="0.25">
      <c r="A53" s="78" t="s">
        <v>563</v>
      </c>
      <c r="B53" s="79">
        <v>39504.26</v>
      </c>
    </row>
    <row r="54" spans="1:2" x14ac:dyDescent="0.25">
      <c r="A54" s="78" t="s">
        <v>574</v>
      </c>
      <c r="B54" s="79">
        <v>97000</v>
      </c>
    </row>
    <row r="55" spans="1:2" x14ac:dyDescent="0.25">
      <c r="A55" s="78" t="s">
        <v>622</v>
      </c>
      <c r="B55" s="79">
        <v>81830</v>
      </c>
    </row>
    <row r="56" spans="1:2" x14ac:dyDescent="0.25">
      <c r="A56" s="78" t="s">
        <v>624</v>
      </c>
      <c r="B56" s="79">
        <v>32000</v>
      </c>
    </row>
    <row r="57" spans="1:2" x14ac:dyDescent="0.25">
      <c r="A57" s="78" t="s">
        <v>510</v>
      </c>
      <c r="B57" s="175">
        <v>300000</v>
      </c>
    </row>
    <row r="58" spans="1:2" x14ac:dyDescent="0.25">
      <c r="A58" s="78" t="s">
        <v>647</v>
      </c>
      <c r="B58" s="79">
        <v>120000</v>
      </c>
    </row>
    <row r="59" spans="1:2" x14ac:dyDescent="0.25">
      <c r="A59" s="78" t="s">
        <v>590</v>
      </c>
      <c r="B59" s="79">
        <v>40000</v>
      </c>
    </row>
    <row r="60" spans="1:2" x14ac:dyDescent="0.25">
      <c r="A60" s="78" t="s">
        <v>655</v>
      </c>
      <c r="B60" s="79">
        <v>6500</v>
      </c>
    </row>
    <row r="61" spans="1:2" x14ac:dyDescent="0.25">
      <c r="A61" s="78" t="s">
        <v>657</v>
      </c>
      <c r="B61" s="79">
        <v>125400</v>
      </c>
    </row>
    <row r="62" spans="1:2" x14ac:dyDescent="0.25">
      <c r="A62" s="78" t="s">
        <v>661</v>
      </c>
      <c r="B62" s="79">
        <v>70000</v>
      </c>
    </row>
    <row r="63" spans="1:2" x14ac:dyDescent="0.25">
      <c r="A63" s="78" t="s">
        <v>656</v>
      </c>
      <c r="B63" s="79">
        <v>152500</v>
      </c>
    </row>
    <row r="64" spans="1:2" x14ac:dyDescent="0.25">
      <c r="A64" s="78" t="s">
        <v>654</v>
      </c>
      <c r="B64" s="79">
        <v>20000</v>
      </c>
    </row>
    <row r="65" spans="1:2" x14ac:dyDescent="0.25">
      <c r="A65" s="78" t="s">
        <v>671</v>
      </c>
      <c r="B65" s="79">
        <v>40000</v>
      </c>
    </row>
    <row r="66" spans="1:2" x14ac:dyDescent="0.25">
      <c r="A66" s="78" t="s">
        <v>670</v>
      </c>
      <c r="B66" s="79">
        <v>100000</v>
      </c>
    </row>
    <row r="67" spans="1:2" x14ac:dyDescent="0.25">
      <c r="A67" s="78" t="s">
        <v>654</v>
      </c>
      <c r="B67" s="79">
        <v>14000</v>
      </c>
    </row>
    <row r="68" spans="1:2" x14ac:dyDescent="0.25">
      <c r="A68" s="78" t="s">
        <v>682</v>
      </c>
      <c r="B68" s="79">
        <v>72000</v>
      </c>
    </row>
    <row r="69" spans="1:2" x14ac:dyDescent="0.25">
      <c r="A69" s="78" t="s">
        <v>358</v>
      </c>
      <c r="B69" s="175">
        <v>183500</v>
      </c>
    </row>
    <row r="70" spans="1:2" x14ac:dyDescent="0.25">
      <c r="A70" s="78" t="s">
        <v>705</v>
      </c>
      <c r="B70" s="79">
        <v>335500</v>
      </c>
    </row>
    <row r="71" spans="1:2" x14ac:dyDescent="0.25">
      <c r="A71" s="78" t="s">
        <v>462</v>
      </c>
      <c r="B71" s="79">
        <v>20000</v>
      </c>
    </row>
    <row r="72" spans="1:2" x14ac:dyDescent="0.25">
      <c r="A72" s="78" t="s">
        <v>744</v>
      </c>
      <c r="B72" s="79">
        <v>30000</v>
      </c>
    </row>
    <row r="73" spans="1:2" x14ac:dyDescent="0.25">
      <c r="A73" s="78" t="s">
        <v>743</v>
      </c>
      <c r="B73" s="79">
        <v>30000</v>
      </c>
    </row>
    <row r="74" spans="1:2" x14ac:dyDescent="0.25">
      <c r="A74" s="78" t="s">
        <v>706</v>
      </c>
      <c r="B74" s="79">
        <v>70000</v>
      </c>
    </row>
    <row r="75" spans="1:2" x14ac:dyDescent="0.25">
      <c r="A75" s="78" t="s">
        <v>691</v>
      </c>
      <c r="B75" s="175">
        <v>161000</v>
      </c>
    </row>
    <row r="76" spans="1:2" x14ac:dyDescent="0.25">
      <c r="A76" s="78" t="s">
        <v>691</v>
      </c>
      <c r="B76" s="175">
        <v>172500</v>
      </c>
    </row>
    <row r="77" spans="1:2" x14ac:dyDescent="0.25">
      <c r="A77" s="78" t="s">
        <v>751</v>
      </c>
      <c r="B77" s="79">
        <v>251240</v>
      </c>
    </row>
    <row r="78" spans="1:2" x14ac:dyDescent="0.25">
      <c r="A78" s="78"/>
      <c r="B78" s="77">
        <f>SUM(B12:B77)</f>
        <v>8138466.7199999997</v>
      </c>
    </row>
    <row r="79" spans="1:2" x14ac:dyDescent="0.25">
      <c r="A79" s="101" t="s">
        <v>552</v>
      </c>
    </row>
    <row r="80" spans="1:2" ht="15.75" thickBot="1" x14ac:dyDescent="0.3"/>
    <row r="81" spans="2:8" ht="15.75" thickBot="1" x14ac:dyDescent="0.3">
      <c r="B81" s="82">
        <f>+Ventas!J2-B78</f>
        <v>700933.28000000026</v>
      </c>
    </row>
    <row r="88" spans="2:8" x14ac:dyDescent="0.25">
      <c r="G88" t="s">
        <v>530</v>
      </c>
      <c r="H88" t="s">
        <v>529</v>
      </c>
    </row>
  </sheetData>
  <pageMargins left="0.75" right="0.75" top="1" bottom="1" header="0.5" footer="0.5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23D35C-0A7D-4030-BBF0-DEBE8660CFB0}">
  <dimension ref="A1:F355"/>
  <sheetViews>
    <sheetView topLeftCell="A61" workbookViewId="0">
      <selection activeCell="D75" sqref="D75"/>
    </sheetView>
  </sheetViews>
  <sheetFormatPr baseColWidth="10" defaultColWidth="9.140625" defaultRowHeight="15" x14ac:dyDescent="0.25"/>
  <cols>
    <col min="1" max="1" width="68.5703125" customWidth="1"/>
    <col min="2" max="2" width="14.5703125" style="56" customWidth="1"/>
    <col min="3" max="3" width="9.140625" style="56"/>
    <col min="4" max="4" width="13.140625" style="2" customWidth="1"/>
  </cols>
  <sheetData>
    <row r="1" spans="1:6" x14ac:dyDescent="0.25">
      <c r="A1" s="35" t="s">
        <v>118</v>
      </c>
      <c r="B1" s="54" t="s">
        <v>188</v>
      </c>
      <c r="C1" s="54" t="s">
        <v>9</v>
      </c>
      <c r="D1" s="36" t="s">
        <v>10</v>
      </c>
    </row>
    <row r="2" spans="1:6" x14ac:dyDescent="0.25">
      <c r="A2" s="37" t="s">
        <v>391</v>
      </c>
      <c r="B2" s="93"/>
      <c r="C2" s="38"/>
      <c r="D2" s="38"/>
    </row>
    <row r="3" spans="1:6" x14ac:dyDescent="0.25">
      <c r="A3" s="39" t="s">
        <v>58</v>
      </c>
      <c r="B3" s="49"/>
      <c r="C3" s="49"/>
      <c r="D3" s="40"/>
    </row>
    <row r="4" spans="1:6" x14ac:dyDescent="0.25">
      <c r="A4" s="41" t="s">
        <v>59</v>
      </c>
      <c r="B4" s="49"/>
      <c r="C4" s="49"/>
      <c r="D4" s="40"/>
    </row>
    <row r="5" spans="1:6" x14ac:dyDescent="0.25">
      <c r="A5" s="42" t="s">
        <v>60</v>
      </c>
      <c r="B5" s="49"/>
      <c r="C5" s="49"/>
      <c r="D5" s="40"/>
    </row>
    <row r="6" spans="1:6" x14ac:dyDescent="0.25">
      <c r="A6" s="41" t="s">
        <v>57</v>
      </c>
      <c r="B6" s="49"/>
      <c r="C6" s="49"/>
      <c r="D6" s="40"/>
    </row>
    <row r="7" spans="1:6" x14ac:dyDescent="0.25">
      <c r="A7" s="41" t="s">
        <v>61</v>
      </c>
      <c r="B7" s="49"/>
      <c r="C7" s="49"/>
      <c r="D7" s="40"/>
    </row>
    <row r="8" spans="1:6" x14ac:dyDescent="0.25">
      <c r="A8" s="42" t="s">
        <v>62</v>
      </c>
      <c r="B8" s="49"/>
      <c r="C8" s="49"/>
      <c r="D8" s="40"/>
    </row>
    <row r="9" spans="1:6" x14ac:dyDescent="0.25">
      <c r="A9" s="41" t="s">
        <v>208</v>
      </c>
      <c r="B9" s="49">
        <v>3</v>
      </c>
      <c r="C9" s="49">
        <v>3</v>
      </c>
      <c r="D9" s="40">
        <v>12828</v>
      </c>
    </row>
    <row r="10" spans="1:6" x14ac:dyDescent="0.25">
      <c r="A10" s="42" t="s">
        <v>48</v>
      </c>
      <c r="B10" s="49" t="s">
        <v>220</v>
      </c>
      <c r="C10" s="49">
        <v>10</v>
      </c>
      <c r="D10" s="40">
        <v>12828</v>
      </c>
    </row>
    <row r="11" spans="1:6" x14ac:dyDescent="0.25">
      <c r="A11" s="42" t="s">
        <v>187</v>
      </c>
      <c r="B11" s="49">
        <v>3</v>
      </c>
      <c r="C11" s="49">
        <v>10</v>
      </c>
      <c r="D11" s="40">
        <v>4000</v>
      </c>
    </row>
    <row r="12" spans="1:6" x14ac:dyDescent="0.25">
      <c r="A12" s="59" t="s">
        <v>645</v>
      </c>
      <c r="B12" s="49"/>
      <c r="C12" s="49">
        <f>14+45+15</f>
        <v>74</v>
      </c>
      <c r="D12" s="40">
        <v>700</v>
      </c>
    </row>
    <row r="13" spans="1:6" x14ac:dyDescent="0.25">
      <c r="A13" s="59" t="s">
        <v>191</v>
      </c>
      <c r="B13" s="49">
        <v>1</v>
      </c>
      <c r="C13" s="49">
        <f>2+10+8+20+20</f>
        <v>60</v>
      </c>
      <c r="D13" s="40">
        <v>1500</v>
      </c>
    </row>
    <row r="14" spans="1:6" x14ac:dyDescent="0.25">
      <c r="A14" s="59" t="s">
        <v>235</v>
      </c>
      <c r="B14" s="49">
        <v>3</v>
      </c>
      <c r="C14" s="49">
        <v>24</v>
      </c>
      <c r="D14" s="40">
        <v>3000</v>
      </c>
    </row>
    <row r="15" spans="1:6" x14ac:dyDescent="0.25">
      <c r="A15" s="41" t="s">
        <v>76</v>
      </c>
      <c r="B15" s="49"/>
      <c r="C15" s="49"/>
      <c r="D15" s="40"/>
      <c r="F15">
        <v>6</v>
      </c>
    </row>
    <row r="16" spans="1:6" x14ac:dyDescent="0.25">
      <c r="A16" s="42" t="s">
        <v>77</v>
      </c>
      <c r="B16" s="49"/>
      <c r="C16" s="49"/>
      <c r="D16" s="40"/>
    </row>
    <row r="17" spans="1:4" x14ac:dyDescent="0.25">
      <c r="A17" s="41" t="s">
        <v>78</v>
      </c>
      <c r="B17" s="49"/>
      <c r="C17" s="49"/>
      <c r="D17" s="40"/>
    </row>
    <row r="18" spans="1:4" x14ac:dyDescent="0.25">
      <c r="A18" s="58" t="s">
        <v>386</v>
      </c>
      <c r="B18" s="49"/>
      <c r="C18" s="49">
        <f>4+5</f>
        <v>9</v>
      </c>
      <c r="D18" s="40">
        <f>14000/4</f>
        <v>3500</v>
      </c>
    </row>
    <row r="19" spans="1:4" x14ac:dyDescent="0.25">
      <c r="A19" s="58" t="s">
        <v>728</v>
      </c>
      <c r="B19" s="49"/>
      <c r="C19" s="49">
        <v>7</v>
      </c>
      <c r="D19" s="40">
        <v>5000</v>
      </c>
    </row>
    <row r="20" spans="1:4" x14ac:dyDescent="0.25">
      <c r="A20" s="58" t="s">
        <v>387</v>
      </c>
      <c r="B20" s="49" t="s">
        <v>388</v>
      </c>
      <c r="C20" s="49">
        <v>2</v>
      </c>
      <c r="D20" s="40">
        <f>32000/2</f>
        <v>16000</v>
      </c>
    </row>
    <row r="21" spans="1:4" x14ac:dyDescent="0.25">
      <c r="A21" s="58" t="s">
        <v>206</v>
      </c>
      <c r="B21" s="63" t="s">
        <v>207</v>
      </c>
      <c r="C21" s="49">
        <v>14</v>
      </c>
      <c r="D21" s="40">
        <v>0</v>
      </c>
    </row>
    <row r="22" spans="1:4" x14ac:dyDescent="0.25">
      <c r="A22" s="41" t="s">
        <v>47</v>
      </c>
      <c r="B22" s="49">
        <v>0.9</v>
      </c>
      <c r="C22" s="49">
        <v>6</v>
      </c>
      <c r="D22" s="40">
        <v>10000</v>
      </c>
    </row>
    <row r="23" spans="1:4" x14ac:dyDescent="0.25">
      <c r="A23" s="58" t="s">
        <v>480</v>
      </c>
      <c r="B23" s="49"/>
      <c r="C23" s="49">
        <v>3</v>
      </c>
      <c r="D23" s="40">
        <v>0</v>
      </c>
    </row>
    <row r="24" spans="1:4" x14ac:dyDescent="0.25">
      <c r="A24" s="58" t="s">
        <v>385</v>
      </c>
      <c r="B24" s="49"/>
      <c r="C24" s="49">
        <v>9</v>
      </c>
      <c r="D24" s="40">
        <f>22500/9</f>
        <v>2500</v>
      </c>
    </row>
    <row r="25" spans="1:4" x14ac:dyDescent="0.25">
      <c r="A25" s="58" t="s">
        <v>219</v>
      </c>
      <c r="B25" s="49" t="s">
        <v>220</v>
      </c>
      <c r="C25" s="49">
        <v>22</v>
      </c>
      <c r="D25" s="40">
        <v>0</v>
      </c>
    </row>
    <row r="26" spans="1:4" x14ac:dyDescent="0.25">
      <c r="A26" s="58" t="s">
        <v>226</v>
      </c>
      <c r="B26" s="49">
        <v>5</v>
      </c>
      <c r="C26" s="49">
        <v>4</v>
      </c>
      <c r="D26" s="40">
        <v>0</v>
      </c>
    </row>
    <row r="27" spans="1:4" x14ac:dyDescent="0.25">
      <c r="A27" s="42" t="s">
        <v>195</v>
      </c>
      <c r="B27" s="49">
        <v>3</v>
      </c>
      <c r="C27" s="49">
        <v>10</v>
      </c>
      <c r="D27" s="40">
        <v>3000</v>
      </c>
    </row>
    <row r="28" spans="1:4" x14ac:dyDescent="0.25">
      <c r="A28" s="59" t="s">
        <v>210</v>
      </c>
      <c r="B28" s="49">
        <v>3</v>
      </c>
      <c r="C28" s="49">
        <v>5</v>
      </c>
      <c r="D28" s="40">
        <v>0</v>
      </c>
    </row>
    <row r="29" spans="1:4" x14ac:dyDescent="0.25">
      <c r="A29" s="59" t="s">
        <v>243</v>
      </c>
      <c r="B29" s="49" t="s">
        <v>192</v>
      </c>
      <c r="C29" s="49">
        <v>3</v>
      </c>
      <c r="D29" s="40">
        <v>4500</v>
      </c>
    </row>
    <row r="30" spans="1:4" x14ac:dyDescent="0.25">
      <c r="A30" s="59" t="s">
        <v>735</v>
      </c>
      <c r="B30" s="49"/>
      <c r="C30" s="49">
        <v>12</v>
      </c>
      <c r="D30" s="40">
        <v>700</v>
      </c>
    </row>
    <row r="31" spans="1:4" x14ac:dyDescent="0.25">
      <c r="A31" s="59" t="s">
        <v>410</v>
      </c>
      <c r="B31" s="49" t="s">
        <v>192</v>
      </c>
      <c r="C31" s="49">
        <v>2</v>
      </c>
      <c r="D31" s="40">
        <v>5500</v>
      </c>
    </row>
    <row r="32" spans="1:4" x14ac:dyDescent="0.25">
      <c r="A32" s="59" t="s">
        <v>231</v>
      </c>
      <c r="B32" s="49">
        <v>3</v>
      </c>
      <c r="C32" s="49">
        <v>4</v>
      </c>
      <c r="D32" s="40">
        <v>0</v>
      </c>
    </row>
    <row r="33" spans="1:4" x14ac:dyDescent="0.25">
      <c r="A33" s="59" t="s">
        <v>217</v>
      </c>
      <c r="B33" s="49" t="s">
        <v>218</v>
      </c>
      <c r="C33" s="49">
        <v>4</v>
      </c>
      <c r="D33" s="40">
        <v>0</v>
      </c>
    </row>
    <row r="34" spans="1:4" x14ac:dyDescent="0.25">
      <c r="A34" s="59" t="s">
        <v>400</v>
      </c>
      <c r="B34" s="49"/>
      <c r="C34" s="49">
        <f>5+4</f>
        <v>9</v>
      </c>
      <c r="D34" s="40">
        <v>6500</v>
      </c>
    </row>
    <row r="35" spans="1:4" x14ac:dyDescent="0.25">
      <c r="A35" s="42" t="s">
        <v>37</v>
      </c>
      <c r="B35" s="49">
        <v>1.5</v>
      </c>
      <c r="C35" s="49">
        <v>5</v>
      </c>
      <c r="D35" s="40">
        <v>10000</v>
      </c>
    </row>
    <row r="36" spans="1:4" x14ac:dyDescent="0.25">
      <c r="A36" s="42" t="s">
        <v>421</v>
      </c>
      <c r="B36" s="49">
        <v>0.5</v>
      </c>
      <c r="C36" s="49">
        <v>5</v>
      </c>
      <c r="D36" s="40">
        <v>3100</v>
      </c>
    </row>
    <row r="37" spans="1:4" x14ac:dyDescent="0.25">
      <c r="A37" s="41" t="s">
        <v>42</v>
      </c>
      <c r="B37" s="49">
        <v>3</v>
      </c>
      <c r="C37" s="49">
        <v>5</v>
      </c>
      <c r="D37" s="40">
        <v>9000</v>
      </c>
    </row>
    <row r="38" spans="1:4" x14ac:dyDescent="0.25">
      <c r="A38" s="41" t="s">
        <v>38</v>
      </c>
      <c r="B38" s="49">
        <v>5</v>
      </c>
      <c r="C38" s="49">
        <v>5</v>
      </c>
      <c r="D38" s="40">
        <v>18000</v>
      </c>
    </row>
    <row r="39" spans="1:4" x14ac:dyDescent="0.25">
      <c r="A39" s="58" t="s">
        <v>729</v>
      </c>
      <c r="B39" s="49"/>
      <c r="C39" s="49">
        <v>5</v>
      </c>
      <c r="D39" s="40">
        <v>3000</v>
      </c>
    </row>
    <row r="40" spans="1:4" x14ac:dyDescent="0.25">
      <c r="A40" s="58" t="s">
        <v>753</v>
      </c>
      <c r="B40" s="49"/>
      <c r="C40" s="49">
        <v>60</v>
      </c>
      <c r="D40" s="40">
        <v>770</v>
      </c>
    </row>
    <row r="41" spans="1:4" x14ac:dyDescent="0.25">
      <c r="A41" s="58" t="s">
        <v>576</v>
      </c>
      <c r="B41" s="49"/>
      <c r="C41" s="49">
        <v>12</v>
      </c>
      <c r="D41" s="40">
        <v>7000</v>
      </c>
    </row>
    <row r="42" spans="1:4" x14ac:dyDescent="0.25">
      <c r="A42" s="58" t="s">
        <v>696</v>
      </c>
      <c r="B42" s="49"/>
      <c r="C42" s="49">
        <v>15</v>
      </c>
      <c r="D42" s="40">
        <v>700</v>
      </c>
    </row>
    <row r="43" spans="1:4" x14ac:dyDescent="0.25">
      <c r="A43" s="58" t="s">
        <v>377</v>
      </c>
      <c r="B43" s="49"/>
      <c r="C43" s="49">
        <v>8</v>
      </c>
      <c r="D43" s="40">
        <f>28000/8</f>
        <v>3500</v>
      </c>
    </row>
    <row r="44" spans="1:4" x14ac:dyDescent="0.25">
      <c r="A44" s="58" t="s">
        <v>211</v>
      </c>
      <c r="B44" s="49">
        <v>3</v>
      </c>
      <c r="C44" s="49">
        <v>50</v>
      </c>
      <c r="D44" s="40">
        <v>2500</v>
      </c>
    </row>
    <row r="45" spans="1:4" x14ac:dyDescent="0.25">
      <c r="A45" s="42" t="s">
        <v>244</v>
      </c>
      <c r="B45" s="49">
        <v>7</v>
      </c>
      <c r="C45" s="49">
        <f>2+4</f>
        <v>6</v>
      </c>
      <c r="D45" s="40">
        <v>18000</v>
      </c>
    </row>
    <row r="46" spans="1:4" x14ac:dyDescent="0.25">
      <c r="A46" s="59" t="s">
        <v>245</v>
      </c>
      <c r="B46" s="49">
        <v>5</v>
      </c>
      <c r="C46" s="49">
        <v>5</v>
      </c>
      <c r="D46" s="40">
        <v>12000</v>
      </c>
    </row>
    <row r="47" spans="1:4" x14ac:dyDescent="0.25">
      <c r="A47" s="59" t="s">
        <v>461</v>
      </c>
      <c r="B47" s="49"/>
      <c r="C47" s="49">
        <f>4+7+20</f>
        <v>31</v>
      </c>
      <c r="D47" s="40">
        <v>3000</v>
      </c>
    </row>
    <row r="48" spans="1:4" x14ac:dyDescent="0.25">
      <c r="A48" s="42" t="s">
        <v>109</v>
      </c>
      <c r="B48" s="49">
        <v>3</v>
      </c>
      <c r="C48" s="49">
        <v>5</v>
      </c>
      <c r="D48" s="40">
        <v>8100</v>
      </c>
    </row>
    <row r="49" spans="1:4" x14ac:dyDescent="0.25">
      <c r="A49" s="42" t="s">
        <v>171</v>
      </c>
      <c r="B49" s="49">
        <v>5</v>
      </c>
      <c r="C49" s="49">
        <v>120</v>
      </c>
      <c r="D49" s="40">
        <v>2600</v>
      </c>
    </row>
    <row r="50" spans="1:4" x14ac:dyDescent="0.25">
      <c r="A50" s="59" t="s">
        <v>390</v>
      </c>
      <c r="B50" s="49"/>
      <c r="C50" s="49">
        <v>10</v>
      </c>
      <c r="D50" s="40">
        <v>2000</v>
      </c>
    </row>
    <row r="51" spans="1:4" x14ac:dyDescent="0.25">
      <c r="A51" s="41" t="s">
        <v>233</v>
      </c>
      <c r="B51" s="49" t="s">
        <v>234</v>
      </c>
      <c r="C51" s="49">
        <v>10</v>
      </c>
      <c r="D51" s="40">
        <v>0</v>
      </c>
    </row>
    <row r="52" spans="1:4" x14ac:dyDescent="0.25">
      <c r="A52" s="42" t="s">
        <v>50</v>
      </c>
      <c r="B52" s="49"/>
      <c r="C52" s="49">
        <v>2</v>
      </c>
      <c r="D52" s="40">
        <v>3500</v>
      </c>
    </row>
    <row r="53" spans="1:4" x14ac:dyDescent="0.25">
      <c r="A53" s="42" t="s">
        <v>209</v>
      </c>
      <c r="B53" s="49">
        <v>0.7</v>
      </c>
      <c r="C53" s="49">
        <v>6</v>
      </c>
      <c r="D53" s="40">
        <v>6000</v>
      </c>
    </row>
    <row r="54" spans="1:4" x14ac:dyDescent="0.25">
      <c r="A54" s="59" t="s">
        <v>204</v>
      </c>
      <c r="B54" s="49">
        <v>0.7</v>
      </c>
      <c r="C54" s="49">
        <f>7+7</f>
        <v>14</v>
      </c>
      <c r="D54" s="40">
        <v>6200</v>
      </c>
    </row>
    <row r="55" spans="1:4" x14ac:dyDescent="0.25">
      <c r="A55" s="59" t="s">
        <v>406</v>
      </c>
      <c r="B55" s="49">
        <v>3</v>
      </c>
      <c r="C55" s="49">
        <v>5</v>
      </c>
      <c r="D55" s="40">
        <v>6500</v>
      </c>
    </row>
    <row r="56" spans="1:4" x14ac:dyDescent="0.25">
      <c r="A56" s="59" t="s">
        <v>407</v>
      </c>
      <c r="B56" s="49">
        <v>3</v>
      </c>
      <c r="C56" s="49">
        <v>5</v>
      </c>
      <c r="D56" s="40">
        <v>6500</v>
      </c>
    </row>
    <row r="57" spans="1:4" x14ac:dyDescent="0.25">
      <c r="A57" s="59" t="s">
        <v>281</v>
      </c>
      <c r="B57" s="49"/>
      <c r="C57" s="49">
        <v>3</v>
      </c>
      <c r="D57" s="40">
        <v>2500</v>
      </c>
    </row>
    <row r="58" spans="1:4" x14ac:dyDescent="0.25">
      <c r="A58" s="59" t="s">
        <v>212</v>
      </c>
      <c r="B58" s="49" t="s">
        <v>207</v>
      </c>
      <c r="C58" s="49">
        <v>23</v>
      </c>
      <c r="D58" s="40">
        <v>0</v>
      </c>
    </row>
    <row r="59" spans="1:4" x14ac:dyDescent="0.25">
      <c r="A59" s="59" t="s">
        <v>213</v>
      </c>
      <c r="B59" s="49">
        <v>10</v>
      </c>
      <c r="C59" s="49">
        <v>1</v>
      </c>
      <c r="D59" s="40">
        <v>0</v>
      </c>
    </row>
    <row r="60" spans="1:4" x14ac:dyDescent="0.25">
      <c r="A60" s="59" t="s">
        <v>408</v>
      </c>
      <c r="B60" s="49" t="s">
        <v>409</v>
      </c>
      <c r="C60" s="49">
        <v>3</v>
      </c>
      <c r="D60" s="40">
        <v>2400</v>
      </c>
    </row>
    <row r="61" spans="1:4" x14ac:dyDescent="0.25">
      <c r="A61" s="59" t="s">
        <v>221</v>
      </c>
      <c r="B61" s="49">
        <v>3</v>
      </c>
      <c r="C61" s="49">
        <v>1</v>
      </c>
      <c r="D61" s="40">
        <v>0</v>
      </c>
    </row>
    <row r="62" spans="1:4" x14ac:dyDescent="0.25">
      <c r="A62" s="59" t="s">
        <v>368</v>
      </c>
      <c r="B62" s="49"/>
      <c r="C62" s="49">
        <f>105+15</f>
        <v>120</v>
      </c>
      <c r="D62" s="40">
        <v>700</v>
      </c>
    </row>
    <row r="63" spans="1:4" x14ac:dyDescent="0.25">
      <c r="A63" s="59" t="s">
        <v>325</v>
      </c>
      <c r="B63" s="49"/>
      <c r="C63" s="49">
        <f>13+20+10+25+10+20</f>
        <v>98</v>
      </c>
      <c r="D63" s="40">
        <v>3000</v>
      </c>
    </row>
    <row r="64" spans="1:4" x14ac:dyDescent="0.25">
      <c r="A64" s="59" t="s">
        <v>392</v>
      </c>
      <c r="B64" s="49"/>
      <c r="C64" s="49">
        <f>8+10</f>
        <v>18</v>
      </c>
      <c r="D64" s="40">
        <v>2000</v>
      </c>
    </row>
    <row r="65" spans="1:4" x14ac:dyDescent="0.25">
      <c r="A65" s="59" t="s">
        <v>376</v>
      </c>
      <c r="B65" s="49"/>
      <c r="C65" s="49">
        <v>7</v>
      </c>
      <c r="D65" s="40">
        <f>15000/5</f>
        <v>3000</v>
      </c>
    </row>
    <row r="66" spans="1:4" x14ac:dyDescent="0.25">
      <c r="A66" s="59" t="s">
        <v>348</v>
      </c>
      <c r="B66" s="49"/>
      <c r="C66" s="49">
        <v>6</v>
      </c>
      <c r="D66" s="40">
        <f>18000/6</f>
        <v>3000</v>
      </c>
    </row>
    <row r="67" spans="1:4" x14ac:dyDescent="0.25">
      <c r="A67" s="59" t="s">
        <v>125</v>
      </c>
      <c r="B67" s="49">
        <v>2</v>
      </c>
      <c r="C67" s="49">
        <v>8</v>
      </c>
      <c r="D67" s="40">
        <v>0</v>
      </c>
    </row>
    <row r="68" spans="1:4" x14ac:dyDescent="0.25">
      <c r="A68" s="59" t="s">
        <v>713</v>
      </c>
      <c r="B68" s="49"/>
      <c r="C68" s="49">
        <v>10</v>
      </c>
      <c r="D68" s="40">
        <v>4800</v>
      </c>
    </row>
    <row r="69" spans="1:4" x14ac:dyDescent="0.25">
      <c r="A69" s="59" t="s">
        <v>712</v>
      </c>
      <c r="B69" s="49"/>
      <c r="C69" s="49">
        <v>4</v>
      </c>
      <c r="D69" s="40">
        <v>12000</v>
      </c>
    </row>
    <row r="70" spans="1:4" x14ac:dyDescent="0.25">
      <c r="A70" s="59" t="s">
        <v>754</v>
      </c>
      <c r="B70" s="49"/>
      <c r="C70" s="49">
        <v>60</v>
      </c>
      <c r="D70" s="40">
        <v>770</v>
      </c>
    </row>
    <row r="71" spans="1:4" x14ac:dyDescent="0.25">
      <c r="A71" s="59" t="s">
        <v>227</v>
      </c>
      <c r="B71" s="49">
        <v>3</v>
      </c>
      <c r="C71" s="49">
        <v>11</v>
      </c>
      <c r="D71" s="40">
        <v>0</v>
      </c>
    </row>
    <row r="72" spans="1:4" x14ac:dyDescent="0.25">
      <c r="A72" s="59" t="s">
        <v>420</v>
      </c>
      <c r="B72" s="49"/>
      <c r="C72" s="49">
        <v>6</v>
      </c>
      <c r="D72" s="40">
        <v>5500</v>
      </c>
    </row>
    <row r="73" spans="1:4" x14ac:dyDescent="0.25">
      <c r="A73" s="59" t="s">
        <v>119</v>
      </c>
      <c r="B73" s="49" t="s">
        <v>207</v>
      </c>
      <c r="C73" s="49">
        <v>23</v>
      </c>
      <c r="D73" s="40">
        <v>0</v>
      </c>
    </row>
    <row r="74" spans="1:4" x14ac:dyDescent="0.25">
      <c r="A74" s="59" t="s">
        <v>727</v>
      </c>
      <c r="B74" s="49"/>
      <c r="C74" s="49">
        <v>3</v>
      </c>
      <c r="D74" s="40">
        <v>4000</v>
      </c>
    </row>
    <row r="75" spans="1:4" x14ac:dyDescent="0.25">
      <c r="A75" s="59" t="s">
        <v>704</v>
      </c>
      <c r="B75" s="49"/>
      <c r="C75" s="49">
        <v>60</v>
      </c>
      <c r="D75" s="40">
        <v>700</v>
      </c>
    </row>
    <row r="76" spans="1:4" x14ac:dyDescent="0.25">
      <c r="A76" s="59" t="s">
        <v>215</v>
      </c>
      <c r="B76" s="49" t="s">
        <v>207</v>
      </c>
      <c r="C76" s="49">
        <v>19</v>
      </c>
      <c r="D76" s="40">
        <v>4000</v>
      </c>
    </row>
    <row r="77" spans="1:4" x14ac:dyDescent="0.25">
      <c r="A77" s="59" t="s">
        <v>216</v>
      </c>
      <c r="B77" s="49">
        <v>0.5</v>
      </c>
      <c r="C77" s="49">
        <f>6+9</f>
        <v>15</v>
      </c>
      <c r="D77" s="40">
        <v>3100</v>
      </c>
    </row>
    <row r="78" spans="1:4" x14ac:dyDescent="0.25">
      <c r="A78" s="59" t="s">
        <v>361</v>
      </c>
      <c r="B78" s="49"/>
      <c r="C78" s="49">
        <v>7</v>
      </c>
      <c r="D78" s="40">
        <v>1500</v>
      </c>
    </row>
    <row r="79" spans="1:4" x14ac:dyDescent="0.25">
      <c r="A79" s="59" t="s">
        <v>732</v>
      </c>
      <c r="B79" s="49"/>
      <c r="C79" s="49">
        <f>8+10</f>
        <v>18</v>
      </c>
      <c r="D79" s="40">
        <v>2500</v>
      </c>
    </row>
    <row r="80" spans="1:4" x14ac:dyDescent="0.25">
      <c r="A80" s="59" t="s">
        <v>700</v>
      </c>
      <c r="B80" s="49" t="s">
        <v>192</v>
      </c>
      <c r="C80" s="49">
        <v>3</v>
      </c>
      <c r="D80" s="40">
        <v>3800</v>
      </c>
    </row>
    <row r="81" spans="1:4" x14ac:dyDescent="0.25">
      <c r="A81" s="59" t="s">
        <v>303</v>
      </c>
      <c r="B81" s="49"/>
      <c r="C81" s="49">
        <f>4+10+8</f>
        <v>22</v>
      </c>
      <c r="D81" s="40">
        <f>10500/3</f>
        <v>3500</v>
      </c>
    </row>
    <row r="82" spans="1:4" x14ac:dyDescent="0.25">
      <c r="A82" s="59" t="s">
        <v>714</v>
      </c>
      <c r="B82" s="49"/>
      <c r="C82" s="49">
        <v>8</v>
      </c>
      <c r="D82" s="40">
        <v>8500</v>
      </c>
    </row>
    <row r="83" spans="1:4" x14ac:dyDescent="0.25">
      <c r="A83" s="59" t="s">
        <v>371</v>
      </c>
      <c r="B83" s="49"/>
      <c r="C83" s="49">
        <v>2</v>
      </c>
      <c r="D83" s="40">
        <v>120000</v>
      </c>
    </row>
    <row r="84" spans="1:4" x14ac:dyDescent="0.25">
      <c r="A84" s="59" t="s">
        <v>733</v>
      </c>
      <c r="B84" s="49"/>
      <c r="C84" s="49">
        <v>15</v>
      </c>
      <c r="D84" s="40">
        <v>700</v>
      </c>
    </row>
    <row r="85" spans="1:4" x14ac:dyDescent="0.25">
      <c r="A85" s="59" t="s">
        <v>384</v>
      </c>
      <c r="B85" s="49"/>
      <c r="C85" s="49">
        <f>10+10+30</f>
        <v>50</v>
      </c>
      <c r="D85" s="40">
        <f>25000/10</f>
        <v>2500</v>
      </c>
    </row>
    <row r="86" spans="1:4" x14ac:dyDescent="0.25">
      <c r="A86" s="58" t="s">
        <v>246</v>
      </c>
      <c r="B86" s="49">
        <v>0.5</v>
      </c>
      <c r="C86" s="49">
        <v>28</v>
      </c>
      <c r="D86" s="40">
        <v>770</v>
      </c>
    </row>
    <row r="87" spans="1:4" x14ac:dyDescent="0.25">
      <c r="A87" s="58" t="s">
        <v>621</v>
      </c>
      <c r="B87" s="49"/>
      <c r="C87" s="49">
        <v>6</v>
      </c>
      <c r="D87" s="40">
        <v>2500</v>
      </c>
    </row>
    <row r="88" spans="1:4" x14ac:dyDescent="0.25">
      <c r="A88" s="58" t="s">
        <v>545</v>
      </c>
      <c r="B88" s="49"/>
      <c r="C88" s="49">
        <v>15</v>
      </c>
      <c r="D88" s="40">
        <v>700</v>
      </c>
    </row>
    <row r="89" spans="1:4" x14ac:dyDescent="0.25">
      <c r="A89" s="58" t="s">
        <v>393</v>
      </c>
      <c r="B89" s="49" t="s">
        <v>192</v>
      </c>
      <c r="C89" s="49">
        <v>3</v>
      </c>
      <c r="D89" s="40">
        <v>4800</v>
      </c>
    </row>
    <row r="90" spans="1:4" x14ac:dyDescent="0.25">
      <c r="A90" s="58" t="s">
        <v>726</v>
      </c>
      <c r="B90" s="49">
        <v>3</v>
      </c>
      <c r="C90" s="49">
        <v>5</v>
      </c>
      <c r="D90" s="40">
        <v>4800</v>
      </c>
    </row>
    <row r="91" spans="1:4" x14ac:dyDescent="0.25">
      <c r="A91" s="58" t="s">
        <v>412</v>
      </c>
      <c r="B91" s="49">
        <v>3</v>
      </c>
      <c r="C91" s="49">
        <f>3+4</f>
        <v>7</v>
      </c>
      <c r="D91" s="40">
        <v>6500</v>
      </c>
    </row>
    <row r="92" spans="1:4" x14ac:dyDescent="0.25">
      <c r="A92" s="41" t="s">
        <v>202</v>
      </c>
      <c r="B92" s="49">
        <v>3</v>
      </c>
      <c r="C92" s="49">
        <v>3</v>
      </c>
      <c r="D92" s="40">
        <v>14000</v>
      </c>
    </row>
    <row r="93" spans="1:4" x14ac:dyDescent="0.25">
      <c r="A93" s="58" t="s">
        <v>214</v>
      </c>
      <c r="B93" s="49">
        <v>3</v>
      </c>
      <c r="C93" s="49">
        <v>1</v>
      </c>
      <c r="D93" s="40">
        <v>0</v>
      </c>
    </row>
    <row r="94" spans="1:4" x14ac:dyDescent="0.25">
      <c r="A94" s="58" t="s">
        <v>677</v>
      </c>
      <c r="B94" s="49"/>
      <c r="C94" s="49">
        <v>30</v>
      </c>
      <c r="D94" s="40">
        <v>700</v>
      </c>
    </row>
    <row r="95" spans="1:4" x14ac:dyDescent="0.25">
      <c r="A95" s="42" t="s">
        <v>105</v>
      </c>
      <c r="B95" s="49">
        <v>0.5</v>
      </c>
      <c r="C95" s="49">
        <v>4</v>
      </c>
      <c r="D95" s="40">
        <v>0</v>
      </c>
    </row>
    <row r="96" spans="1:4" x14ac:dyDescent="0.25">
      <c r="A96" s="59" t="s">
        <v>365</v>
      </c>
      <c r="B96" s="49" t="s">
        <v>192</v>
      </c>
      <c r="C96" s="49">
        <v>6</v>
      </c>
      <c r="D96" s="40">
        <f>21000/6</f>
        <v>3500</v>
      </c>
    </row>
    <row r="97" spans="1:4" x14ac:dyDescent="0.25">
      <c r="A97" s="59" t="s">
        <v>366</v>
      </c>
      <c r="B97" s="49">
        <v>0.5</v>
      </c>
      <c r="C97" s="49">
        <v>6</v>
      </c>
      <c r="D97" s="40">
        <f>12000/6</f>
        <v>2000</v>
      </c>
    </row>
    <row r="98" spans="1:4" x14ac:dyDescent="0.25">
      <c r="A98" s="59" t="s">
        <v>367</v>
      </c>
      <c r="B98" s="49" t="s">
        <v>192</v>
      </c>
      <c r="C98" s="49">
        <v>7</v>
      </c>
      <c r="D98" s="40">
        <v>3500</v>
      </c>
    </row>
    <row r="99" spans="1:4" x14ac:dyDescent="0.25">
      <c r="A99" s="59" t="s">
        <v>756</v>
      </c>
      <c r="B99" s="49"/>
      <c r="C99" s="49">
        <v>60</v>
      </c>
      <c r="D99" s="40">
        <v>700</v>
      </c>
    </row>
    <row r="100" spans="1:4" x14ac:dyDescent="0.25">
      <c r="A100" s="59" t="s">
        <v>667</v>
      </c>
      <c r="B100" s="49"/>
      <c r="C100" s="49">
        <v>5</v>
      </c>
      <c r="D100" s="40">
        <v>5000</v>
      </c>
    </row>
    <row r="101" spans="1:4" x14ac:dyDescent="0.25">
      <c r="A101" s="59" t="s">
        <v>378</v>
      </c>
      <c r="B101" s="49"/>
      <c r="C101" s="49">
        <v>18</v>
      </c>
      <c r="D101" s="40">
        <f>45000/18</f>
        <v>2500</v>
      </c>
    </row>
    <row r="102" spans="1:4" x14ac:dyDescent="0.25">
      <c r="A102" s="59" t="s">
        <v>364</v>
      </c>
      <c r="B102" s="49"/>
      <c r="C102" s="49">
        <v>1</v>
      </c>
      <c r="D102" s="40">
        <v>6500</v>
      </c>
    </row>
    <row r="103" spans="1:4" x14ac:dyDescent="0.25">
      <c r="A103" s="41" t="s">
        <v>223</v>
      </c>
      <c r="B103" s="49"/>
      <c r="C103" s="49">
        <v>6</v>
      </c>
      <c r="D103" s="40">
        <f>72000/6</f>
        <v>12000</v>
      </c>
    </row>
    <row r="104" spans="1:4" x14ac:dyDescent="0.25">
      <c r="A104" s="42" t="s">
        <v>222</v>
      </c>
      <c r="B104" s="49">
        <v>5</v>
      </c>
      <c r="C104" s="49">
        <v>2</v>
      </c>
      <c r="D104" s="40">
        <v>0</v>
      </c>
    </row>
    <row r="105" spans="1:4" x14ac:dyDescent="0.25">
      <c r="A105" s="64" t="s">
        <v>418</v>
      </c>
      <c r="B105" s="49" t="s">
        <v>388</v>
      </c>
      <c r="C105" s="49">
        <v>3</v>
      </c>
      <c r="D105" s="40">
        <v>6000</v>
      </c>
    </row>
    <row r="106" spans="1:4" x14ac:dyDescent="0.25">
      <c r="A106" s="64" t="s">
        <v>725</v>
      </c>
      <c r="B106" s="49">
        <v>3</v>
      </c>
      <c r="C106" s="49">
        <v>6</v>
      </c>
      <c r="D106" s="40">
        <v>6000</v>
      </c>
    </row>
    <row r="107" spans="1:4" x14ac:dyDescent="0.25">
      <c r="A107" s="64" t="s">
        <v>715</v>
      </c>
      <c r="B107" s="49"/>
      <c r="C107" s="49">
        <v>10</v>
      </c>
      <c r="D107" s="40">
        <v>3500</v>
      </c>
    </row>
    <row r="108" spans="1:4" x14ac:dyDescent="0.25">
      <c r="A108" s="64" t="s">
        <v>224</v>
      </c>
      <c r="B108" s="49" t="s">
        <v>225</v>
      </c>
      <c r="C108" s="49">
        <v>7</v>
      </c>
      <c r="D108" s="40">
        <v>0</v>
      </c>
    </row>
    <row r="109" spans="1:4" x14ac:dyDescent="0.25">
      <c r="A109" s="64" t="s">
        <v>301</v>
      </c>
      <c r="B109" s="49" t="s">
        <v>192</v>
      </c>
      <c r="C109" s="49">
        <v>1</v>
      </c>
      <c r="D109" s="40">
        <v>4500</v>
      </c>
    </row>
    <row r="110" spans="1:4" x14ac:dyDescent="0.25">
      <c r="A110" s="64" t="s">
        <v>514</v>
      </c>
      <c r="B110" s="49"/>
      <c r="C110" s="49">
        <v>3</v>
      </c>
      <c r="D110" s="40">
        <v>3000</v>
      </c>
    </row>
    <row r="111" spans="1:4" x14ac:dyDescent="0.25">
      <c r="A111" s="64" t="s">
        <v>362</v>
      </c>
      <c r="B111" s="49" t="s">
        <v>363</v>
      </c>
      <c r="C111" s="49">
        <f>6+15+45+30</f>
        <v>96</v>
      </c>
      <c r="D111" s="40">
        <v>900</v>
      </c>
    </row>
    <row r="112" spans="1:4" x14ac:dyDescent="0.25">
      <c r="A112" s="64" t="s">
        <v>664</v>
      </c>
      <c r="B112" s="49"/>
      <c r="C112" s="49">
        <v>2</v>
      </c>
      <c r="D112" s="40">
        <v>22500</v>
      </c>
    </row>
    <row r="113" spans="1:4" x14ac:dyDescent="0.25">
      <c r="A113" s="64" t="s">
        <v>665</v>
      </c>
      <c r="B113" s="49"/>
      <c r="C113" s="49">
        <v>2</v>
      </c>
      <c r="D113" s="40">
        <v>31500</v>
      </c>
    </row>
    <row r="114" spans="1:4" x14ac:dyDescent="0.25">
      <c r="A114" s="64" t="s">
        <v>752</v>
      </c>
      <c r="B114" s="49" t="s">
        <v>363</v>
      </c>
      <c r="C114" s="49">
        <v>15</v>
      </c>
      <c r="D114" s="40">
        <v>1700</v>
      </c>
    </row>
    <row r="115" spans="1:4" x14ac:dyDescent="0.25">
      <c r="A115" s="37" t="s">
        <v>111</v>
      </c>
      <c r="B115" s="93"/>
      <c r="C115" s="38"/>
      <c r="D115" s="38"/>
    </row>
    <row r="116" spans="1:4" x14ac:dyDescent="0.25">
      <c r="A116" s="43" t="s">
        <v>75</v>
      </c>
      <c r="B116" s="49"/>
      <c r="C116" s="49">
        <f>5+5</f>
        <v>10</v>
      </c>
      <c r="D116" s="40">
        <v>5500</v>
      </c>
    </row>
    <row r="117" spans="1:4" x14ac:dyDescent="0.25">
      <c r="A117" s="43" t="s">
        <v>513</v>
      </c>
      <c r="B117" s="49"/>
      <c r="C117" s="49">
        <v>5</v>
      </c>
      <c r="D117" s="40">
        <v>3000</v>
      </c>
    </row>
    <row r="118" spans="1:4" x14ac:dyDescent="0.25">
      <c r="A118" s="43" t="s">
        <v>71</v>
      </c>
      <c r="B118" s="49">
        <v>5</v>
      </c>
      <c r="C118" s="49">
        <v>10</v>
      </c>
      <c r="D118" s="40">
        <v>5000</v>
      </c>
    </row>
    <row r="119" spans="1:4" x14ac:dyDescent="0.25">
      <c r="A119" s="43" t="s">
        <v>70</v>
      </c>
      <c r="B119" s="49"/>
      <c r="C119" s="49">
        <v>10</v>
      </c>
      <c r="D119" s="40">
        <v>3000</v>
      </c>
    </row>
    <row r="120" spans="1:4" x14ac:dyDescent="0.25">
      <c r="A120" s="43" t="s">
        <v>69</v>
      </c>
      <c r="B120" s="49"/>
      <c r="C120" s="49">
        <v>10</v>
      </c>
      <c r="D120" s="40">
        <v>3000</v>
      </c>
    </row>
    <row r="121" spans="1:4" x14ac:dyDescent="0.25">
      <c r="A121" s="43" t="s">
        <v>198</v>
      </c>
      <c r="B121" s="49">
        <v>4</v>
      </c>
      <c r="C121" s="49">
        <v>10</v>
      </c>
      <c r="D121" s="40">
        <v>4400</v>
      </c>
    </row>
    <row r="122" spans="1:4" x14ac:dyDescent="0.25">
      <c r="A122" s="43" t="s">
        <v>199</v>
      </c>
      <c r="B122" s="49"/>
      <c r="C122" s="49"/>
      <c r="D122" s="40"/>
    </row>
    <row r="123" spans="1:4" x14ac:dyDescent="0.25">
      <c r="A123" s="83" t="s">
        <v>496</v>
      </c>
      <c r="B123" s="49"/>
      <c r="C123" s="49">
        <v>5</v>
      </c>
      <c r="D123" s="40">
        <v>3000</v>
      </c>
    </row>
    <row r="124" spans="1:4" x14ac:dyDescent="0.25">
      <c r="A124" s="83" t="s">
        <v>497</v>
      </c>
      <c r="B124" s="49"/>
      <c r="C124" s="49">
        <v>1</v>
      </c>
      <c r="D124" s="40">
        <v>3000</v>
      </c>
    </row>
    <row r="125" spans="1:4" x14ac:dyDescent="0.25">
      <c r="A125" s="43" t="s">
        <v>79</v>
      </c>
      <c r="B125" s="49"/>
      <c r="C125" s="49"/>
      <c r="D125" s="40"/>
    </row>
    <row r="126" spans="1:4" x14ac:dyDescent="0.25">
      <c r="A126" s="43" t="s">
        <v>80</v>
      </c>
      <c r="B126" s="49"/>
      <c r="C126" s="49"/>
      <c r="D126" s="40"/>
    </row>
    <row r="127" spans="1:4" x14ac:dyDescent="0.25">
      <c r="A127" s="43" t="s">
        <v>72</v>
      </c>
      <c r="B127" s="49"/>
      <c r="C127" s="49">
        <f>8+10</f>
        <v>18</v>
      </c>
      <c r="D127" s="40">
        <v>5000</v>
      </c>
    </row>
    <row r="128" spans="1:4" x14ac:dyDescent="0.25">
      <c r="A128" s="37" t="s">
        <v>46</v>
      </c>
      <c r="B128" s="93"/>
      <c r="C128" s="38"/>
      <c r="D128" s="38"/>
    </row>
    <row r="129" spans="1:4" x14ac:dyDescent="0.25">
      <c r="A129" s="44" t="s">
        <v>101</v>
      </c>
      <c r="B129" s="49"/>
      <c r="C129" s="49"/>
      <c r="D129" s="40"/>
    </row>
    <row r="130" spans="1:4" x14ac:dyDescent="0.25">
      <c r="A130" s="45" t="s">
        <v>97</v>
      </c>
      <c r="B130" s="49"/>
      <c r="C130" s="49">
        <v>30</v>
      </c>
      <c r="D130" s="40">
        <v>700</v>
      </c>
    </row>
    <row r="131" spans="1:4" x14ac:dyDescent="0.25">
      <c r="A131" s="62" t="s">
        <v>307</v>
      </c>
      <c r="B131" s="49"/>
      <c r="C131" s="49">
        <f>6+15</f>
        <v>21</v>
      </c>
      <c r="D131" s="40">
        <v>1000</v>
      </c>
    </row>
    <row r="132" spans="1:4" x14ac:dyDescent="0.25">
      <c r="A132" s="44" t="s">
        <v>96</v>
      </c>
      <c r="B132" s="49"/>
      <c r="C132" s="49"/>
      <c r="D132" s="40"/>
    </row>
    <row r="133" spans="1:4" x14ac:dyDescent="0.25">
      <c r="A133" s="44" t="s">
        <v>201</v>
      </c>
      <c r="B133" s="49">
        <v>0.7</v>
      </c>
      <c r="C133" s="49">
        <v>4</v>
      </c>
      <c r="D133" s="40">
        <v>1100</v>
      </c>
    </row>
    <row r="134" spans="1:4" x14ac:dyDescent="0.25">
      <c r="A134" s="45" t="s">
        <v>102</v>
      </c>
      <c r="B134" s="49"/>
      <c r="C134" s="49">
        <v>21</v>
      </c>
      <c r="D134" s="40">
        <v>3000</v>
      </c>
    </row>
    <row r="135" spans="1:4" x14ac:dyDescent="0.25">
      <c r="A135" s="45" t="s">
        <v>200</v>
      </c>
      <c r="B135" s="49">
        <v>0.7</v>
      </c>
      <c r="C135" s="49">
        <v>13</v>
      </c>
      <c r="D135" s="40">
        <v>1100</v>
      </c>
    </row>
    <row r="136" spans="1:4" x14ac:dyDescent="0.25">
      <c r="A136" s="44" t="s">
        <v>100</v>
      </c>
      <c r="B136" s="49">
        <v>3</v>
      </c>
      <c r="C136" s="49">
        <f>5+10+8+10</f>
        <v>33</v>
      </c>
      <c r="D136" s="40">
        <v>2500</v>
      </c>
    </row>
    <row r="137" spans="1:4" s="33" customFormat="1" x14ac:dyDescent="0.25">
      <c r="A137" s="57" t="s">
        <v>428</v>
      </c>
      <c r="B137" s="49"/>
      <c r="C137" s="49">
        <v>5</v>
      </c>
      <c r="D137" s="40">
        <v>1100</v>
      </c>
    </row>
    <row r="138" spans="1:4" x14ac:dyDescent="0.25">
      <c r="A138" s="45" t="s">
        <v>315</v>
      </c>
      <c r="B138" s="49">
        <v>3</v>
      </c>
      <c r="C138" s="49">
        <v>48</v>
      </c>
      <c r="D138" s="40">
        <v>1100</v>
      </c>
    </row>
    <row r="139" spans="1:4" x14ac:dyDescent="0.25">
      <c r="A139" s="62" t="s">
        <v>339</v>
      </c>
      <c r="B139" s="49"/>
      <c r="C139" s="49">
        <f>2+10</f>
        <v>12</v>
      </c>
      <c r="D139" s="40">
        <v>700</v>
      </c>
    </row>
    <row r="140" spans="1:4" x14ac:dyDescent="0.25">
      <c r="A140" s="44" t="s">
        <v>95</v>
      </c>
      <c r="B140" s="49">
        <v>0.7</v>
      </c>
      <c r="C140" s="49">
        <v>4</v>
      </c>
      <c r="D140" s="40">
        <v>0</v>
      </c>
    </row>
    <row r="141" spans="1:4" x14ac:dyDescent="0.25">
      <c r="A141" s="57" t="s">
        <v>676</v>
      </c>
      <c r="B141" s="49"/>
      <c r="C141" s="49">
        <v>10</v>
      </c>
      <c r="D141" s="40">
        <v>700</v>
      </c>
    </row>
    <row r="142" spans="1:4" x14ac:dyDescent="0.25">
      <c r="A142" s="44" t="s">
        <v>94</v>
      </c>
      <c r="B142" s="49">
        <v>3</v>
      </c>
      <c r="C142" s="49">
        <v>15</v>
      </c>
      <c r="D142" s="40">
        <v>3500</v>
      </c>
    </row>
    <row r="143" spans="1:4" x14ac:dyDescent="0.25">
      <c r="A143" s="57" t="s">
        <v>190</v>
      </c>
      <c r="B143" s="49">
        <v>0.7</v>
      </c>
      <c r="C143" s="49">
        <f>16+30</f>
        <v>46</v>
      </c>
      <c r="D143" s="40">
        <v>1100</v>
      </c>
    </row>
    <row r="144" spans="1:4" x14ac:dyDescent="0.25">
      <c r="A144" s="44" t="s">
        <v>98</v>
      </c>
      <c r="B144" s="49"/>
      <c r="C144" s="49">
        <f>3+10</f>
        <v>13</v>
      </c>
      <c r="D144" s="40">
        <v>700</v>
      </c>
    </row>
    <row r="145" spans="1:4" x14ac:dyDescent="0.25">
      <c r="A145" s="45" t="s">
        <v>292</v>
      </c>
      <c r="B145" s="49">
        <v>2</v>
      </c>
      <c r="C145" s="49">
        <f>5+4+4</f>
        <v>13</v>
      </c>
      <c r="D145" s="40">
        <v>4300</v>
      </c>
    </row>
    <row r="146" spans="1:4" x14ac:dyDescent="0.25">
      <c r="A146" s="44" t="s">
        <v>103</v>
      </c>
      <c r="B146" s="49"/>
      <c r="C146" s="49">
        <v>20</v>
      </c>
      <c r="D146" s="40">
        <v>800</v>
      </c>
    </row>
    <row r="147" spans="1:4" x14ac:dyDescent="0.25">
      <c r="A147" s="45" t="s">
        <v>99</v>
      </c>
      <c r="B147" s="49">
        <v>0.7</v>
      </c>
      <c r="C147" s="49">
        <v>5</v>
      </c>
      <c r="D147" s="40">
        <v>1100</v>
      </c>
    </row>
    <row r="148" spans="1:4" x14ac:dyDescent="0.25">
      <c r="A148" s="37" t="s">
        <v>110</v>
      </c>
      <c r="B148" s="93"/>
      <c r="C148" s="38"/>
      <c r="D148" s="38"/>
    </row>
    <row r="149" spans="1:4" x14ac:dyDescent="0.25">
      <c r="A149" s="44" t="s">
        <v>36</v>
      </c>
      <c r="B149" s="49">
        <v>8</v>
      </c>
      <c r="C149" s="49">
        <v>10</v>
      </c>
      <c r="D149" s="40">
        <v>30000</v>
      </c>
    </row>
    <row r="150" spans="1:4" x14ac:dyDescent="0.25">
      <c r="A150" s="44" t="s">
        <v>65</v>
      </c>
      <c r="B150" s="49">
        <v>15</v>
      </c>
      <c r="C150" s="49">
        <v>24</v>
      </c>
      <c r="D150" s="40">
        <v>0</v>
      </c>
    </row>
    <row r="151" spans="1:4" x14ac:dyDescent="0.25">
      <c r="A151" s="45" t="s">
        <v>66</v>
      </c>
      <c r="B151" s="49"/>
      <c r="C151" s="49"/>
      <c r="D151" s="40"/>
    </row>
    <row r="152" spans="1:4" x14ac:dyDescent="0.25">
      <c r="A152" s="44" t="s">
        <v>68</v>
      </c>
      <c r="B152" s="49">
        <v>10</v>
      </c>
      <c r="C152" s="49">
        <v>5</v>
      </c>
      <c r="D152" s="40">
        <v>0</v>
      </c>
    </row>
    <row r="153" spans="1:4" x14ac:dyDescent="0.25">
      <c r="A153" s="57" t="s">
        <v>174</v>
      </c>
      <c r="B153" s="49">
        <v>5</v>
      </c>
      <c r="C153" s="49">
        <v>8</v>
      </c>
      <c r="D153" s="40">
        <v>8500</v>
      </c>
    </row>
    <row r="154" spans="1:4" x14ac:dyDescent="0.25">
      <c r="A154" s="45" t="s">
        <v>63</v>
      </c>
      <c r="B154" s="49">
        <v>10</v>
      </c>
      <c r="C154" s="49">
        <v>3</v>
      </c>
      <c r="D154" s="40">
        <v>0</v>
      </c>
    </row>
    <row r="155" spans="1:4" x14ac:dyDescent="0.25">
      <c r="A155" s="44" t="s">
        <v>67</v>
      </c>
      <c r="B155" s="49"/>
      <c r="C155" s="49"/>
      <c r="D155" s="40"/>
    </row>
    <row r="156" spans="1:4" x14ac:dyDescent="0.25">
      <c r="A156" s="44" t="s">
        <v>74</v>
      </c>
      <c r="B156" s="49">
        <v>8</v>
      </c>
      <c r="C156" s="49">
        <v>5</v>
      </c>
      <c r="D156" s="40">
        <v>12000</v>
      </c>
    </row>
    <row r="157" spans="1:4" x14ac:dyDescent="0.25">
      <c r="A157" s="45" t="s">
        <v>64</v>
      </c>
      <c r="B157" s="49">
        <v>30</v>
      </c>
      <c r="C157" s="49">
        <v>1</v>
      </c>
      <c r="D157" s="40"/>
    </row>
    <row r="158" spans="1:4" x14ac:dyDescent="0.25">
      <c r="A158" s="37" t="s">
        <v>505</v>
      </c>
      <c r="B158" s="93"/>
      <c r="C158" s="38"/>
      <c r="D158" s="38"/>
    </row>
    <row r="159" spans="1:4" x14ac:dyDescent="0.25">
      <c r="A159" s="44" t="s">
        <v>205</v>
      </c>
      <c r="B159" s="49">
        <v>3</v>
      </c>
      <c r="C159" s="49">
        <v>1</v>
      </c>
      <c r="D159" s="40">
        <v>1500</v>
      </c>
    </row>
    <row r="160" spans="1:4" x14ac:dyDescent="0.25">
      <c r="A160" s="57" t="s">
        <v>515</v>
      </c>
      <c r="B160" s="49"/>
      <c r="C160" s="49">
        <v>4</v>
      </c>
      <c r="D160" s="40">
        <v>3000</v>
      </c>
    </row>
    <row r="161" spans="1:4" x14ac:dyDescent="0.25">
      <c r="A161" s="57" t="s">
        <v>500</v>
      </c>
      <c r="B161" s="49"/>
      <c r="C161" s="49">
        <v>4</v>
      </c>
      <c r="D161" s="40">
        <v>4000</v>
      </c>
    </row>
    <row r="162" spans="1:4" x14ac:dyDescent="0.25">
      <c r="A162" s="57" t="s">
        <v>396</v>
      </c>
      <c r="B162" s="49"/>
      <c r="C162" s="49">
        <v>5</v>
      </c>
      <c r="D162" s="40">
        <v>5000</v>
      </c>
    </row>
    <row r="163" spans="1:4" x14ac:dyDescent="0.25">
      <c r="A163" s="57" t="s">
        <v>320</v>
      </c>
      <c r="B163" s="49"/>
      <c r="C163" s="49">
        <v>9</v>
      </c>
      <c r="D163" s="40">
        <v>5500</v>
      </c>
    </row>
    <row r="164" spans="1:4" x14ac:dyDescent="0.25">
      <c r="A164" s="45" t="s">
        <v>104</v>
      </c>
      <c r="B164" s="49">
        <v>10</v>
      </c>
      <c r="C164" s="49">
        <f>3+20</f>
        <v>23</v>
      </c>
      <c r="D164" s="40">
        <v>3000</v>
      </c>
    </row>
    <row r="165" spans="1:4" x14ac:dyDescent="0.25">
      <c r="A165" s="62" t="s">
        <v>666</v>
      </c>
      <c r="B165" s="49"/>
      <c r="C165" s="49">
        <v>2</v>
      </c>
      <c r="D165" s="40">
        <v>62000</v>
      </c>
    </row>
    <row r="166" spans="1:4" x14ac:dyDescent="0.25">
      <c r="A166" s="57" t="s">
        <v>508</v>
      </c>
      <c r="C166" s="56">
        <f>2+15</f>
        <v>17</v>
      </c>
      <c r="D166" s="2">
        <v>3000</v>
      </c>
    </row>
    <row r="167" spans="1:4" x14ac:dyDescent="0.25">
      <c r="A167" s="57" t="s">
        <v>370</v>
      </c>
      <c r="B167" s="49"/>
      <c r="C167" s="49">
        <f>14+5+10</f>
        <v>29</v>
      </c>
      <c r="D167" s="40">
        <f>14000/4</f>
        <v>3500</v>
      </c>
    </row>
    <row r="168" spans="1:4" x14ac:dyDescent="0.25">
      <c r="A168" s="45" t="s">
        <v>108</v>
      </c>
      <c r="B168" s="49">
        <v>3</v>
      </c>
      <c r="C168" s="49">
        <v>10</v>
      </c>
      <c r="D168" s="40">
        <v>1500</v>
      </c>
    </row>
    <row r="169" spans="1:4" x14ac:dyDescent="0.25">
      <c r="A169" s="62" t="s">
        <v>731</v>
      </c>
      <c r="B169" s="49"/>
      <c r="C169" s="49">
        <v>5</v>
      </c>
      <c r="D169" s="40">
        <v>4500</v>
      </c>
    </row>
    <row r="170" spans="1:4" x14ac:dyDescent="0.25">
      <c r="A170" s="45" t="s">
        <v>197</v>
      </c>
      <c r="B170" s="49">
        <v>3</v>
      </c>
      <c r="C170" s="49">
        <v>4</v>
      </c>
      <c r="D170" s="40">
        <v>4000</v>
      </c>
    </row>
    <row r="171" spans="1:4" x14ac:dyDescent="0.25">
      <c r="A171" s="45" t="s">
        <v>229</v>
      </c>
      <c r="B171" s="49">
        <v>5</v>
      </c>
      <c r="C171" s="49">
        <v>9</v>
      </c>
      <c r="D171" s="40">
        <v>9600</v>
      </c>
    </row>
    <row r="172" spans="1:4" x14ac:dyDescent="0.25">
      <c r="A172" s="44" t="s">
        <v>228</v>
      </c>
      <c r="B172" s="49">
        <v>3</v>
      </c>
      <c r="C172" s="49">
        <v>3</v>
      </c>
      <c r="D172" s="40">
        <v>8400</v>
      </c>
    </row>
    <row r="173" spans="1:4" x14ac:dyDescent="0.25">
      <c r="A173" s="44" t="s">
        <v>49</v>
      </c>
      <c r="B173" s="49">
        <v>3</v>
      </c>
      <c r="C173" s="49">
        <v>3</v>
      </c>
      <c r="D173" s="40">
        <v>11000</v>
      </c>
    </row>
    <row r="174" spans="1:4" x14ac:dyDescent="0.25">
      <c r="A174" s="45" t="s">
        <v>43</v>
      </c>
      <c r="B174" s="49">
        <v>3</v>
      </c>
      <c r="C174" s="49">
        <v>2</v>
      </c>
      <c r="D174" s="40">
        <v>8400</v>
      </c>
    </row>
    <row r="175" spans="1:4" x14ac:dyDescent="0.25">
      <c r="A175" s="62" t="s">
        <v>230</v>
      </c>
      <c r="B175" s="49">
        <v>1</v>
      </c>
      <c r="C175" s="49">
        <v>1</v>
      </c>
      <c r="D175" s="40">
        <v>0</v>
      </c>
    </row>
    <row r="176" spans="1:4" x14ac:dyDescent="0.25">
      <c r="A176" s="45" t="s">
        <v>232</v>
      </c>
      <c r="B176" s="49">
        <v>2</v>
      </c>
      <c r="C176" s="49">
        <v>11</v>
      </c>
      <c r="D176" s="40">
        <v>0</v>
      </c>
    </row>
    <row r="177" spans="1:4" x14ac:dyDescent="0.25">
      <c r="A177" s="45" t="s">
        <v>91</v>
      </c>
      <c r="B177" s="49"/>
      <c r="C177" s="49">
        <v>1</v>
      </c>
      <c r="D177" s="40">
        <v>0</v>
      </c>
    </row>
    <row r="178" spans="1:4" x14ac:dyDescent="0.25">
      <c r="A178" s="44" t="s">
        <v>92</v>
      </c>
      <c r="B178" s="49"/>
      <c r="C178" s="49"/>
      <c r="D178" s="40"/>
    </row>
    <row r="179" spans="1:4" x14ac:dyDescent="0.25">
      <c r="A179" s="44" t="s">
        <v>90</v>
      </c>
      <c r="B179" s="49"/>
      <c r="C179" s="49"/>
      <c r="D179" s="40"/>
    </row>
    <row r="180" spans="1:4" x14ac:dyDescent="0.25">
      <c r="A180" s="57" t="s">
        <v>575</v>
      </c>
      <c r="B180" s="49"/>
      <c r="C180" s="49">
        <v>10</v>
      </c>
      <c r="D180" s="40"/>
    </row>
    <row r="181" spans="1:4" x14ac:dyDescent="0.25">
      <c r="A181" s="57" t="s">
        <v>737</v>
      </c>
      <c r="B181" s="49"/>
      <c r="C181" s="49">
        <v>5</v>
      </c>
      <c r="D181" s="40">
        <v>2500</v>
      </c>
    </row>
    <row r="182" spans="1:4" x14ac:dyDescent="0.25">
      <c r="A182" s="57" t="s">
        <v>750</v>
      </c>
      <c r="B182" s="49" t="s">
        <v>388</v>
      </c>
      <c r="C182" s="49">
        <v>5</v>
      </c>
      <c r="D182" s="40">
        <v>12000</v>
      </c>
    </row>
    <row r="183" spans="1:4" x14ac:dyDescent="0.25">
      <c r="A183" s="57" t="s">
        <v>321</v>
      </c>
      <c r="B183" s="49"/>
      <c r="C183" s="49">
        <f>2+2</f>
        <v>4</v>
      </c>
      <c r="D183" s="40">
        <v>3000</v>
      </c>
    </row>
    <row r="184" spans="1:4" x14ac:dyDescent="0.25">
      <c r="A184" s="57" t="s">
        <v>346</v>
      </c>
      <c r="B184" s="49"/>
      <c r="C184" s="49">
        <f>10+10+15</f>
        <v>35</v>
      </c>
      <c r="D184" s="40">
        <f>25000/10</f>
        <v>2500</v>
      </c>
    </row>
    <row r="185" spans="1:4" x14ac:dyDescent="0.25">
      <c r="A185" s="57" t="s">
        <v>504</v>
      </c>
      <c r="B185" s="49"/>
      <c r="C185" s="49">
        <v>10</v>
      </c>
      <c r="D185" s="40">
        <v>3000</v>
      </c>
    </row>
    <row r="186" spans="1:4" x14ac:dyDescent="0.25">
      <c r="A186" s="57" t="s">
        <v>539</v>
      </c>
      <c r="B186" s="49"/>
      <c r="C186" s="49">
        <v>20</v>
      </c>
      <c r="D186" s="40">
        <v>3000</v>
      </c>
    </row>
    <row r="187" spans="1:4" x14ac:dyDescent="0.25">
      <c r="A187" s="44" t="s">
        <v>106</v>
      </c>
      <c r="B187" s="49">
        <v>3</v>
      </c>
      <c r="C187" s="49">
        <f>3+5</f>
        <v>8</v>
      </c>
      <c r="D187" s="40">
        <v>3000</v>
      </c>
    </row>
    <row r="188" spans="1:4" x14ac:dyDescent="0.25">
      <c r="A188" s="57" t="s">
        <v>397</v>
      </c>
      <c r="B188" s="49"/>
      <c r="C188" s="49">
        <f>10+10</f>
        <v>20</v>
      </c>
      <c r="D188" s="40">
        <v>3000</v>
      </c>
    </row>
    <row r="189" spans="1:4" x14ac:dyDescent="0.25">
      <c r="A189" s="83" t="s">
        <v>369</v>
      </c>
      <c r="B189" s="49"/>
      <c r="C189" s="49">
        <v>1</v>
      </c>
      <c r="D189" s="40">
        <v>5000</v>
      </c>
    </row>
    <row r="190" spans="1:4" x14ac:dyDescent="0.25">
      <c r="A190" s="83" t="s">
        <v>638</v>
      </c>
      <c r="B190" s="49">
        <v>5</v>
      </c>
      <c r="C190" s="49">
        <v>6</v>
      </c>
      <c r="D190" s="40">
        <v>15000</v>
      </c>
    </row>
    <row r="191" spans="1:4" x14ac:dyDescent="0.25">
      <c r="A191" s="57" t="s">
        <v>740</v>
      </c>
      <c r="B191" s="49"/>
      <c r="C191" s="49">
        <v>6</v>
      </c>
      <c r="D191" s="40">
        <v>10000</v>
      </c>
    </row>
    <row r="192" spans="1:4" x14ac:dyDescent="0.25">
      <c r="A192" s="65" t="s">
        <v>381</v>
      </c>
      <c r="B192" s="49"/>
      <c r="C192" s="49">
        <v>4</v>
      </c>
      <c r="D192" s="40">
        <f>24000/4</f>
        <v>6000</v>
      </c>
    </row>
    <row r="193" spans="1:4" x14ac:dyDescent="0.25">
      <c r="A193" s="65" t="s">
        <v>578</v>
      </c>
      <c r="B193" s="49"/>
      <c r="C193" s="49">
        <v>6</v>
      </c>
      <c r="D193" s="40">
        <v>15000</v>
      </c>
    </row>
    <row r="194" spans="1:4" x14ac:dyDescent="0.25">
      <c r="A194" s="65" t="s">
        <v>503</v>
      </c>
      <c r="B194" s="49"/>
      <c r="C194" s="49">
        <v>11</v>
      </c>
      <c r="D194" s="40">
        <v>4000</v>
      </c>
    </row>
    <row r="195" spans="1:4" x14ac:dyDescent="0.25">
      <c r="A195" s="83" t="s">
        <v>389</v>
      </c>
      <c r="B195" s="49">
        <v>3</v>
      </c>
      <c r="C195" s="49">
        <f>6+6+4</f>
        <v>16</v>
      </c>
      <c r="D195" s="40">
        <v>5500</v>
      </c>
    </row>
    <row r="196" spans="1:4" x14ac:dyDescent="0.25">
      <c r="A196" s="58" t="s">
        <v>189</v>
      </c>
      <c r="B196" s="49">
        <v>7</v>
      </c>
      <c r="C196" s="49">
        <v>7</v>
      </c>
      <c r="D196" s="40">
        <v>8500</v>
      </c>
    </row>
    <row r="197" spans="1:4" x14ac:dyDescent="0.25">
      <c r="A197" s="83" t="s">
        <v>512</v>
      </c>
      <c r="B197" s="49"/>
      <c r="C197" s="49">
        <f>5+10</f>
        <v>15</v>
      </c>
      <c r="D197" s="40">
        <v>3000</v>
      </c>
    </row>
    <row r="198" spans="1:4" x14ac:dyDescent="0.25">
      <c r="A198" s="65" t="s">
        <v>236</v>
      </c>
      <c r="B198" s="49" t="s">
        <v>207</v>
      </c>
      <c r="C198" s="49">
        <v>57</v>
      </c>
      <c r="D198" s="40">
        <v>3000</v>
      </c>
    </row>
    <row r="199" spans="1:4" x14ac:dyDescent="0.25">
      <c r="A199" s="37" t="s">
        <v>107</v>
      </c>
      <c r="B199" s="93"/>
      <c r="C199" s="38"/>
      <c r="D199" s="38"/>
    </row>
    <row r="200" spans="1:4" x14ac:dyDescent="0.25">
      <c r="A200" s="44" t="s">
        <v>114</v>
      </c>
      <c r="B200" s="49">
        <v>7</v>
      </c>
      <c r="C200" s="49">
        <v>4</v>
      </c>
      <c r="D200" s="40">
        <v>0</v>
      </c>
    </row>
    <row r="201" spans="1:4" x14ac:dyDescent="0.25">
      <c r="A201" s="45" t="s">
        <v>115</v>
      </c>
      <c r="B201" s="49"/>
      <c r="C201" s="49"/>
      <c r="D201" s="40"/>
    </row>
    <row r="202" spans="1:4" x14ac:dyDescent="0.25">
      <c r="A202" s="45" t="s">
        <v>93</v>
      </c>
      <c r="B202" s="49">
        <v>5</v>
      </c>
      <c r="C202" s="49">
        <v>5</v>
      </c>
      <c r="D202" s="40">
        <v>24000</v>
      </c>
    </row>
    <row r="203" spans="1:4" x14ac:dyDescent="0.25">
      <c r="A203" s="62" t="s">
        <v>196</v>
      </c>
      <c r="B203" s="49">
        <v>1.5</v>
      </c>
      <c r="C203" s="49">
        <v>5</v>
      </c>
      <c r="D203" s="40">
        <v>11000</v>
      </c>
    </row>
    <row r="204" spans="1:4" x14ac:dyDescent="0.25">
      <c r="A204" s="62" t="s">
        <v>405</v>
      </c>
      <c r="B204" s="49">
        <v>3</v>
      </c>
      <c r="C204" s="49">
        <v>4</v>
      </c>
      <c r="D204" s="40">
        <v>13500</v>
      </c>
    </row>
    <row r="205" spans="1:4" x14ac:dyDescent="0.25">
      <c r="A205" s="45" t="s">
        <v>242</v>
      </c>
      <c r="B205" s="49">
        <v>1.5</v>
      </c>
      <c r="C205" s="49">
        <v>5</v>
      </c>
      <c r="D205" s="40">
        <v>11000</v>
      </c>
    </row>
    <row r="206" spans="1:4" x14ac:dyDescent="0.25">
      <c r="A206" s="44" t="s">
        <v>41</v>
      </c>
      <c r="B206" s="49">
        <v>1.5</v>
      </c>
      <c r="C206" s="49">
        <v>13</v>
      </c>
      <c r="D206" s="40">
        <v>14000</v>
      </c>
    </row>
    <row r="207" spans="1:4" x14ac:dyDescent="0.25">
      <c r="A207" s="57" t="s">
        <v>730</v>
      </c>
      <c r="B207" s="49"/>
      <c r="C207" s="49">
        <v>5</v>
      </c>
      <c r="D207" s="40">
        <v>3000</v>
      </c>
    </row>
    <row r="208" spans="1:4" x14ac:dyDescent="0.25">
      <c r="A208" s="57" t="s">
        <v>506</v>
      </c>
      <c r="B208" s="49"/>
      <c r="C208" s="49">
        <v>1</v>
      </c>
      <c r="D208" s="40">
        <v>0</v>
      </c>
    </row>
    <row r="209" spans="1:4" x14ac:dyDescent="0.25">
      <c r="A209" s="45" t="s">
        <v>113</v>
      </c>
      <c r="B209" s="49"/>
      <c r="C209" s="49"/>
      <c r="D209" s="40"/>
    </row>
    <row r="210" spans="1:4" x14ac:dyDescent="0.25">
      <c r="A210" s="62" t="s">
        <v>404</v>
      </c>
      <c r="B210" s="49">
        <v>3</v>
      </c>
      <c r="C210" s="49">
        <v>1</v>
      </c>
      <c r="D210" s="40">
        <v>17000</v>
      </c>
    </row>
    <row r="211" spans="1:4" x14ac:dyDescent="0.25">
      <c r="A211" s="62" t="s">
        <v>507</v>
      </c>
      <c r="B211" s="49"/>
      <c r="C211" s="49">
        <v>10</v>
      </c>
      <c r="D211" s="40">
        <v>3000</v>
      </c>
    </row>
    <row r="212" spans="1:4" x14ac:dyDescent="0.25">
      <c r="A212" s="44" t="s">
        <v>193</v>
      </c>
      <c r="B212" s="49"/>
      <c r="C212" s="49"/>
      <c r="D212" s="40"/>
    </row>
    <row r="213" spans="1:4" x14ac:dyDescent="0.25">
      <c r="A213" s="37" t="s">
        <v>116</v>
      </c>
      <c r="B213" s="93"/>
      <c r="C213" s="38"/>
      <c r="D213" s="38"/>
    </row>
    <row r="214" spans="1:4" x14ac:dyDescent="0.25">
      <c r="A214" s="45" t="s">
        <v>117</v>
      </c>
      <c r="B214" s="49"/>
      <c r="C214" s="49"/>
      <c r="D214" s="40"/>
    </row>
    <row r="215" spans="1:4" x14ac:dyDescent="0.25">
      <c r="A215" s="44" t="s">
        <v>40</v>
      </c>
      <c r="B215" s="49">
        <v>0.9</v>
      </c>
      <c r="C215" s="49">
        <v>10</v>
      </c>
      <c r="D215" s="40">
        <v>4800</v>
      </c>
    </row>
    <row r="216" spans="1:4" x14ac:dyDescent="0.25">
      <c r="A216" s="44" t="s">
        <v>577</v>
      </c>
      <c r="B216" s="49"/>
      <c r="C216" s="49">
        <v>15</v>
      </c>
      <c r="D216" s="40">
        <v>2500</v>
      </c>
    </row>
    <row r="217" spans="1:4" x14ac:dyDescent="0.25">
      <c r="A217" s="45" t="s">
        <v>703</v>
      </c>
      <c r="B217" s="49">
        <v>15</v>
      </c>
      <c r="C217" s="49">
        <v>12</v>
      </c>
      <c r="D217" s="40">
        <v>3000</v>
      </c>
    </row>
    <row r="218" spans="1:4" x14ac:dyDescent="0.25">
      <c r="A218" s="83" t="s">
        <v>711</v>
      </c>
      <c r="B218" s="49"/>
      <c r="C218" s="116"/>
      <c r="D218" s="117"/>
    </row>
    <row r="219" spans="1:4" x14ac:dyDescent="0.25">
      <c r="A219" s="83" t="s">
        <v>498</v>
      </c>
      <c r="B219" s="49"/>
      <c r="C219" s="49">
        <f>2+5</f>
        <v>7</v>
      </c>
      <c r="D219" s="40">
        <v>5000</v>
      </c>
    </row>
    <row r="220" spans="1:4" x14ac:dyDescent="0.25">
      <c r="A220" s="37" t="s">
        <v>175</v>
      </c>
      <c r="B220" s="49"/>
      <c r="C220" s="60"/>
      <c r="D220" s="61"/>
    </row>
    <row r="221" spans="1:4" x14ac:dyDescent="0.25">
      <c r="A221" s="45" t="s">
        <v>183</v>
      </c>
      <c r="B221" s="49"/>
      <c r="C221" s="49"/>
      <c r="D221" s="40"/>
    </row>
    <row r="222" spans="1:4" x14ac:dyDescent="0.25">
      <c r="A222" s="45" t="s">
        <v>182</v>
      </c>
      <c r="B222" s="49"/>
      <c r="C222" s="49"/>
      <c r="D222" s="40"/>
    </row>
    <row r="223" spans="1:4" x14ac:dyDescent="0.25">
      <c r="A223" s="45" t="s">
        <v>179</v>
      </c>
      <c r="B223" s="49"/>
      <c r="C223" s="49"/>
      <c r="D223" s="40"/>
    </row>
    <row r="224" spans="1:4" x14ac:dyDescent="0.25">
      <c r="A224" s="45" t="s">
        <v>177</v>
      </c>
      <c r="B224" s="49"/>
      <c r="C224" s="49"/>
      <c r="D224" s="40"/>
    </row>
    <row r="225" spans="1:4" x14ac:dyDescent="0.25">
      <c r="A225" s="45" t="s">
        <v>186</v>
      </c>
      <c r="B225" s="49"/>
      <c r="C225" s="49"/>
      <c r="D225" s="40"/>
    </row>
    <row r="226" spans="1:4" x14ac:dyDescent="0.25">
      <c r="A226" s="45" t="s">
        <v>181</v>
      </c>
      <c r="B226" s="49"/>
      <c r="C226" s="49"/>
      <c r="D226" s="40"/>
    </row>
    <row r="227" spans="1:4" x14ac:dyDescent="0.25">
      <c r="A227" s="45" t="s">
        <v>180</v>
      </c>
      <c r="B227" s="49"/>
      <c r="C227" s="49"/>
      <c r="D227" s="40"/>
    </row>
    <row r="228" spans="1:4" x14ac:dyDescent="0.25">
      <c r="A228" s="45" t="s">
        <v>176</v>
      </c>
      <c r="B228" s="49">
        <v>3</v>
      </c>
      <c r="C228" s="49">
        <v>8</v>
      </c>
      <c r="D228" s="40">
        <v>1500</v>
      </c>
    </row>
    <row r="229" spans="1:4" x14ac:dyDescent="0.25">
      <c r="A229" s="45" t="s">
        <v>185</v>
      </c>
      <c r="B229" s="49"/>
      <c r="C229" s="49"/>
      <c r="D229" s="40"/>
    </row>
    <row r="230" spans="1:4" x14ac:dyDescent="0.25">
      <c r="A230" s="45" t="s">
        <v>184</v>
      </c>
      <c r="B230" s="49"/>
      <c r="C230" s="49"/>
      <c r="D230" s="40"/>
    </row>
    <row r="231" spans="1:4" x14ac:dyDescent="0.25">
      <c r="A231" s="45" t="s">
        <v>112</v>
      </c>
      <c r="B231" s="49">
        <v>10</v>
      </c>
      <c r="C231" s="49">
        <v>2</v>
      </c>
      <c r="D231" s="40">
        <v>0</v>
      </c>
    </row>
    <row r="232" spans="1:4" x14ac:dyDescent="0.25">
      <c r="A232" s="45" t="s">
        <v>178</v>
      </c>
      <c r="B232" s="49"/>
      <c r="C232" s="49"/>
      <c r="D232" s="40"/>
    </row>
    <row r="233" spans="1:4" x14ac:dyDescent="0.25">
      <c r="A233" s="43"/>
      <c r="B233" s="49"/>
      <c r="C233" s="49"/>
      <c r="D233" s="40"/>
    </row>
    <row r="234" spans="1:4" x14ac:dyDescent="0.25">
      <c r="A234" s="43"/>
      <c r="B234" s="49"/>
      <c r="C234" s="49"/>
      <c r="D234" s="40"/>
    </row>
    <row r="235" spans="1:4" x14ac:dyDescent="0.25">
      <c r="A235" s="43"/>
      <c r="B235" s="49"/>
      <c r="C235" s="49"/>
      <c r="D235" s="40"/>
    </row>
    <row r="236" spans="1:4" x14ac:dyDescent="0.25">
      <c r="A236" s="43"/>
      <c r="B236" s="49"/>
      <c r="C236" s="49"/>
      <c r="D236" s="40"/>
    </row>
    <row r="237" spans="1:4" x14ac:dyDescent="0.25">
      <c r="A237" s="43"/>
      <c r="B237" s="49"/>
      <c r="C237" s="49"/>
      <c r="D237" s="40"/>
    </row>
    <row r="238" spans="1:4" x14ac:dyDescent="0.25">
      <c r="A238" s="43"/>
      <c r="B238" s="49"/>
      <c r="C238" s="49"/>
      <c r="D238" s="40"/>
    </row>
    <row r="239" spans="1:4" x14ac:dyDescent="0.25">
      <c r="A239" s="43"/>
      <c r="B239" s="49"/>
      <c r="C239" s="49"/>
      <c r="D239" s="40"/>
    </row>
    <row r="240" spans="1:4" x14ac:dyDescent="0.25">
      <c r="A240" s="43"/>
      <c r="B240" s="49"/>
      <c r="C240" s="49"/>
      <c r="D240" s="40"/>
    </row>
    <row r="241" spans="1:4" x14ac:dyDescent="0.25">
      <c r="A241" s="43"/>
      <c r="B241" s="49"/>
      <c r="C241" s="49"/>
      <c r="D241" s="40"/>
    </row>
    <row r="242" spans="1:4" x14ac:dyDescent="0.25">
      <c r="A242" s="43"/>
      <c r="B242" s="49"/>
      <c r="C242" s="49"/>
      <c r="D242" s="40"/>
    </row>
    <row r="243" spans="1:4" x14ac:dyDescent="0.25">
      <c r="A243" s="43"/>
      <c r="B243" s="49"/>
      <c r="C243" s="49"/>
      <c r="D243" s="40"/>
    </row>
    <row r="244" spans="1:4" x14ac:dyDescent="0.25">
      <c r="A244" s="43"/>
      <c r="B244" s="49"/>
      <c r="C244" s="49"/>
      <c r="D244" s="40"/>
    </row>
    <row r="245" spans="1:4" x14ac:dyDescent="0.25">
      <c r="A245" s="43"/>
      <c r="B245" s="49"/>
      <c r="C245" s="49"/>
      <c r="D245" s="40"/>
    </row>
    <row r="246" spans="1:4" x14ac:dyDescent="0.25">
      <c r="A246" s="43"/>
      <c r="B246" s="49"/>
      <c r="C246" s="49"/>
      <c r="D246" s="40"/>
    </row>
    <row r="247" spans="1:4" x14ac:dyDescent="0.25">
      <c r="A247" s="43"/>
      <c r="B247" s="49"/>
      <c r="C247" s="49"/>
      <c r="D247" s="40"/>
    </row>
    <row r="248" spans="1:4" x14ac:dyDescent="0.25">
      <c r="A248" s="43"/>
      <c r="B248" s="49"/>
      <c r="C248" s="49"/>
      <c r="D248" s="40"/>
    </row>
    <row r="249" spans="1:4" x14ac:dyDescent="0.25">
      <c r="A249" s="43"/>
      <c r="B249" s="49"/>
      <c r="C249" s="49"/>
      <c r="D249" s="40"/>
    </row>
    <row r="250" spans="1:4" x14ac:dyDescent="0.25">
      <c r="A250" s="43"/>
      <c r="B250" s="49"/>
      <c r="C250" s="49"/>
      <c r="D250" s="40"/>
    </row>
    <row r="251" spans="1:4" x14ac:dyDescent="0.25">
      <c r="A251" s="43"/>
      <c r="B251" s="49"/>
      <c r="C251" s="49"/>
      <c r="D251" s="40"/>
    </row>
    <row r="252" spans="1:4" x14ac:dyDescent="0.25">
      <c r="A252" s="43"/>
      <c r="B252" s="49"/>
      <c r="C252" s="49"/>
      <c r="D252" s="40"/>
    </row>
    <row r="253" spans="1:4" x14ac:dyDescent="0.25">
      <c r="A253" s="43"/>
      <c r="B253" s="49"/>
      <c r="C253" s="49"/>
      <c r="D253" s="40"/>
    </row>
    <row r="254" spans="1:4" x14ac:dyDescent="0.25">
      <c r="A254" s="43"/>
      <c r="B254" s="49"/>
      <c r="C254" s="49"/>
      <c r="D254" s="40"/>
    </row>
    <row r="255" spans="1:4" x14ac:dyDescent="0.25">
      <c r="A255" s="43"/>
      <c r="B255" s="49"/>
      <c r="C255" s="49"/>
      <c r="D255" s="40"/>
    </row>
    <row r="256" spans="1:4" x14ac:dyDescent="0.25">
      <c r="A256" s="43"/>
      <c r="B256" s="49"/>
      <c r="C256" s="49"/>
      <c r="D256" s="40"/>
    </row>
    <row r="257" spans="1:4" x14ac:dyDescent="0.25">
      <c r="A257" s="43"/>
      <c r="B257" s="49"/>
      <c r="C257" s="49"/>
      <c r="D257" s="40"/>
    </row>
    <row r="258" spans="1:4" x14ac:dyDescent="0.25">
      <c r="A258" s="43"/>
      <c r="B258" s="49"/>
      <c r="C258" s="49"/>
      <c r="D258" s="40"/>
    </row>
    <row r="259" spans="1:4" x14ac:dyDescent="0.25">
      <c r="A259" s="43"/>
      <c r="B259" s="49"/>
      <c r="C259" s="49"/>
      <c r="D259" s="40"/>
    </row>
    <row r="260" spans="1:4" x14ac:dyDescent="0.25">
      <c r="A260" s="43"/>
      <c r="B260" s="49"/>
      <c r="C260" s="49"/>
      <c r="D260" s="40"/>
    </row>
    <row r="261" spans="1:4" x14ac:dyDescent="0.25">
      <c r="A261" s="43"/>
      <c r="B261" s="49"/>
      <c r="C261" s="49"/>
      <c r="D261" s="40"/>
    </row>
    <row r="262" spans="1:4" x14ac:dyDescent="0.25">
      <c r="A262" s="43"/>
      <c r="B262" s="49"/>
      <c r="C262" s="49"/>
      <c r="D262" s="40"/>
    </row>
    <row r="263" spans="1:4" x14ac:dyDescent="0.25">
      <c r="A263" s="43"/>
      <c r="B263" s="49"/>
      <c r="C263" s="49"/>
      <c r="D263" s="40"/>
    </row>
    <row r="264" spans="1:4" x14ac:dyDescent="0.25">
      <c r="A264" s="43"/>
      <c r="B264" s="49"/>
      <c r="C264" s="49"/>
      <c r="D264" s="40"/>
    </row>
    <row r="265" spans="1:4" x14ac:dyDescent="0.25">
      <c r="A265" s="43"/>
      <c r="B265" s="49"/>
      <c r="C265" s="49"/>
      <c r="D265" s="40"/>
    </row>
    <row r="266" spans="1:4" x14ac:dyDescent="0.25">
      <c r="A266" s="43"/>
      <c r="B266" s="49"/>
      <c r="C266" s="49"/>
      <c r="D266" s="40"/>
    </row>
    <row r="267" spans="1:4" x14ac:dyDescent="0.25">
      <c r="A267" s="43"/>
      <c r="B267" s="49"/>
      <c r="C267" s="49"/>
      <c r="D267" s="40"/>
    </row>
    <row r="268" spans="1:4" x14ac:dyDescent="0.25">
      <c r="A268" s="43"/>
      <c r="B268" s="49"/>
      <c r="C268" s="49"/>
      <c r="D268" s="40"/>
    </row>
    <row r="269" spans="1:4" x14ac:dyDescent="0.25">
      <c r="A269" s="43"/>
      <c r="B269" s="49"/>
      <c r="C269" s="49"/>
      <c r="D269" s="40"/>
    </row>
    <row r="270" spans="1:4" x14ac:dyDescent="0.25">
      <c r="A270" s="43"/>
      <c r="B270" s="49"/>
      <c r="C270" s="49"/>
      <c r="D270" s="40"/>
    </row>
    <row r="271" spans="1:4" x14ac:dyDescent="0.25">
      <c r="A271" s="43"/>
      <c r="B271" s="49"/>
      <c r="C271" s="49"/>
      <c r="D271" s="40"/>
    </row>
    <row r="272" spans="1:4" x14ac:dyDescent="0.25">
      <c r="A272" s="43"/>
      <c r="B272" s="49"/>
      <c r="C272" s="49"/>
      <c r="D272" s="40"/>
    </row>
    <row r="273" spans="1:4" x14ac:dyDescent="0.25">
      <c r="A273" s="43"/>
      <c r="B273" s="49"/>
      <c r="C273" s="49"/>
      <c r="D273" s="40"/>
    </row>
    <row r="274" spans="1:4" x14ac:dyDescent="0.25">
      <c r="A274" s="43"/>
      <c r="B274" s="49"/>
      <c r="C274" s="49"/>
      <c r="D274" s="40"/>
    </row>
    <row r="275" spans="1:4" x14ac:dyDescent="0.25">
      <c r="A275" s="43"/>
      <c r="B275" s="49"/>
      <c r="C275" s="49"/>
      <c r="D275" s="40"/>
    </row>
    <row r="276" spans="1:4" x14ac:dyDescent="0.25">
      <c r="A276" s="43"/>
      <c r="B276" s="49"/>
      <c r="C276" s="49"/>
      <c r="D276" s="40"/>
    </row>
    <row r="277" spans="1:4" x14ac:dyDescent="0.25">
      <c r="A277" s="43"/>
      <c r="B277" s="49"/>
      <c r="C277" s="49"/>
      <c r="D277" s="40"/>
    </row>
    <row r="278" spans="1:4" x14ac:dyDescent="0.25">
      <c r="A278" s="43"/>
      <c r="B278" s="49"/>
      <c r="C278" s="49"/>
      <c r="D278" s="40"/>
    </row>
    <row r="279" spans="1:4" x14ac:dyDescent="0.25">
      <c r="A279" s="43"/>
      <c r="B279" s="49"/>
      <c r="C279" s="49"/>
      <c r="D279" s="40"/>
    </row>
    <row r="280" spans="1:4" x14ac:dyDescent="0.25">
      <c r="A280" s="43"/>
      <c r="B280" s="49"/>
      <c r="C280" s="49"/>
      <c r="D280" s="40"/>
    </row>
    <row r="281" spans="1:4" x14ac:dyDescent="0.25">
      <c r="A281" s="43"/>
      <c r="B281" s="49"/>
      <c r="C281" s="49"/>
      <c r="D281" s="40"/>
    </row>
    <row r="282" spans="1:4" x14ac:dyDescent="0.25">
      <c r="A282" s="43"/>
      <c r="B282" s="49"/>
      <c r="C282" s="49"/>
      <c r="D282" s="40"/>
    </row>
    <row r="283" spans="1:4" x14ac:dyDescent="0.25">
      <c r="A283" s="43"/>
      <c r="B283" s="49"/>
      <c r="C283" s="49"/>
      <c r="D283" s="40"/>
    </row>
    <row r="284" spans="1:4" x14ac:dyDescent="0.25">
      <c r="A284" s="43"/>
      <c r="B284" s="49"/>
      <c r="C284" s="49"/>
      <c r="D284" s="40"/>
    </row>
    <row r="285" spans="1:4" x14ac:dyDescent="0.25">
      <c r="A285" s="43"/>
      <c r="B285" s="49"/>
      <c r="C285" s="49"/>
      <c r="D285" s="40"/>
    </row>
    <row r="286" spans="1:4" x14ac:dyDescent="0.25">
      <c r="A286" s="43"/>
      <c r="B286" s="49"/>
      <c r="C286" s="49"/>
      <c r="D286" s="40"/>
    </row>
    <row r="287" spans="1:4" x14ac:dyDescent="0.25">
      <c r="A287" s="43"/>
      <c r="B287" s="49"/>
      <c r="C287" s="49"/>
      <c r="D287" s="40"/>
    </row>
    <row r="288" spans="1:4" x14ac:dyDescent="0.25">
      <c r="A288" s="43"/>
      <c r="B288" s="49"/>
      <c r="C288" s="49"/>
      <c r="D288" s="40"/>
    </row>
    <row r="289" spans="1:4" x14ac:dyDescent="0.25">
      <c r="A289" s="43"/>
      <c r="B289" s="49"/>
      <c r="C289" s="49"/>
      <c r="D289" s="40"/>
    </row>
    <row r="290" spans="1:4" x14ac:dyDescent="0.25">
      <c r="A290" s="43"/>
      <c r="B290" s="49"/>
      <c r="C290" s="49"/>
      <c r="D290" s="40"/>
    </row>
    <row r="291" spans="1:4" x14ac:dyDescent="0.25">
      <c r="A291" s="43"/>
      <c r="B291" s="49"/>
      <c r="C291" s="49"/>
      <c r="D291" s="40"/>
    </row>
    <row r="292" spans="1:4" x14ac:dyDescent="0.25">
      <c r="A292" s="43"/>
      <c r="B292" s="49"/>
      <c r="C292" s="49"/>
      <c r="D292" s="40"/>
    </row>
    <row r="293" spans="1:4" x14ac:dyDescent="0.25">
      <c r="A293" s="43"/>
      <c r="B293" s="49"/>
      <c r="C293" s="49"/>
      <c r="D293" s="40"/>
    </row>
    <row r="294" spans="1:4" x14ac:dyDescent="0.25">
      <c r="A294" s="43"/>
      <c r="B294" s="49"/>
      <c r="C294" s="49"/>
      <c r="D294" s="40"/>
    </row>
    <row r="295" spans="1:4" x14ac:dyDescent="0.25">
      <c r="A295" s="43"/>
      <c r="B295" s="49"/>
      <c r="C295" s="49"/>
      <c r="D295" s="40"/>
    </row>
    <row r="296" spans="1:4" x14ac:dyDescent="0.25">
      <c r="A296" s="43"/>
      <c r="B296" s="49"/>
      <c r="C296" s="49"/>
      <c r="D296" s="40"/>
    </row>
    <row r="297" spans="1:4" x14ac:dyDescent="0.25">
      <c r="A297" s="43"/>
      <c r="B297" s="49"/>
      <c r="C297" s="49"/>
      <c r="D297" s="40"/>
    </row>
    <row r="298" spans="1:4" x14ac:dyDescent="0.25">
      <c r="A298" s="43"/>
      <c r="B298" s="49"/>
      <c r="C298" s="49"/>
      <c r="D298" s="40"/>
    </row>
    <row r="299" spans="1:4" x14ac:dyDescent="0.25">
      <c r="A299" s="43"/>
      <c r="B299" s="49"/>
      <c r="C299" s="49"/>
      <c r="D299" s="40"/>
    </row>
    <row r="300" spans="1:4" x14ac:dyDescent="0.25">
      <c r="A300" s="43"/>
      <c r="B300" s="49"/>
      <c r="C300" s="49"/>
      <c r="D300" s="40"/>
    </row>
    <row r="301" spans="1:4" x14ac:dyDescent="0.25">
      <c r="A301" s="43"/>
      <c r="B301" s="49"/>
      <c r="C301" s="49"/>
      <c r="D301" s="40"/>
    </row>
    <row r="302" spans="1:4" x14ac:dyDescent="0.25">
      <c r="A302" s="43"/>
      <c r="B302" s="49"/>
      <c r="C302" s="49"/>
      <c r="D302" s="40"/>
    </row>
    <row r="303" spans="1:4" x14ac:dyDescent="0.25">
      <c r="A303" s="43"/>
      <c r="B303" s="49"/>
      <c r="C303" s="49"/>
      <c r="D303" s="40"/>
    </row>
    <row r="304" spans="1:4" x14ac:dyDescent="0.25">
      <c r="A304" s="43"/>
      <c r="B304" s="49"/>
      <c r="C304" s="49"/>
      <c r="D304" s="40"/>
    </row>
    <row r="305" spans="1:4" x14ac:dyDescent="0.25">
      <c r="A305" s="43"/>
      <c r="B305" s="49"/>
      <c r="C305" s="49"/>
      <c r="D305" s="40"/>
    </row>
    <row r="306" spans="1:4" x14ac:dyDescent="0.25">
      <c r="A306" s="43"/>
      <c r="B306" s="49"/>
      <c r="C306" s="49"/>
      <c r="D306" s="40"/>
    </row>
    <row r="307" spans="1:4" x14ac:dyDescent="0.25">
      <c r="A307" s="43"/>
      <c r="B307" s="49"/>
      <c r="C307" s="49"/>
      <c r="D307" s="40"/>
    </row>
    <row r="308" spans="1:4" x14ac:dyDescent="0.25">
      <c r="A308" s="43"/>
      <c r="B308" s="49"/>
      <c r="C308" s="49"/>
      <c r="D308" s="40"/>
    </row>
    <row r="309" spans="1:4" x14ac:dyDescent="0.25">
      <c r="A309" s="43"/>
      <c r="B309" s="49"/>
      <c r="C309" s="49"/>
      <c r="D309" s="40"/>
    </row>
    <row r="310" spans="1:4" x14ac:dyDescent="0.25">
      <c r="A310" s="43"/>
      <c r="B310" s="49"/>
      <c r="C310" s="49"/>
      <c r="D310" s="40"/>
    </row>
    <row r="311" spans="1:4" x14ac:dyDescent="0.25">
      <c r="A311" s="43"/>
      <c r="B311" s="49"/>
      <c r="C311" s="49"/>
      <c r="D311" s="40"/>
    </row>
    <row r="312" spans="1:4" x14ac:dyDescent="0.25">
      <c r="A312" s="43"/>
      <c r="B312" s="49"/>
      <c r="C312" s="49"/>
      <c r="D312" s="40"/>
    </row>
    <row r="313" spans="1:4" x14ac:dyDescent="0.25">
      <c r="A313" s="43"/>
      <c r="B313" s="49"/>
      <c r="C313" s="49"/>
      <c r="D313" s="40"/>
    </row>
    <row r="314" spans="1:4" x14ac:dyDescent="0.25">
      <c r="A314" s="43"/>
      <c r="B314" s="49"/>
      <c r="C314" s="49"/>
      <c r="D314" s="40"/>
    </row>
    <row r="315" spans="1:4" x14ac:dyDescent="0.25">
      <c r="A315" s="43"/>
      <c r="B315" s="49"/>
      <c r="C315" s="49"/>
      <c r="D315" s="40"/>
    </row>
    <row r="316" spans="1:4" x14ac:dyDescent="0.25">
      <c r="A316" s="43"/>
      <c r="B316" s="49"/>
      <c r="C316" s="49"/>
      <c r="D316" s="40"/>
    </row>
    <row r="317" spans="1:4" x14ac:dyDescent="0.25">
      <c r="A317" s="43"/>
      <c r="B317" s="49"/>
      <c r="C317" s="49"/>
      <c r="D317" s="40"/>
    </row>
    <row r="318" spans="1:4" x14ac:dyDescent="0.25">
      <c r="A318" s="43"/>
      <c r="B318" s="49"/>
      <c r="C318" s="49"/>
      <c r="D318" s="40"/>
    </row>
    <row r="319" spans="1:4" x14ac:dyDescent="0.25">
      <c r="A319" s="43"/>
      <c r="B319" s="49"/>
      <c r="C319" s="49"/>
      <c r="D319" s="40"/>
    </row>
    <row r="320" spans="1:4" x14ac:dyDescent="0.25">
      <c r="A320" s="43"/>
      <c r="B320" s="49"/>
      <c r="C320" s="49"/>
      <c r="D320" s="40"/>
    </row>
    <row r="321" spans="1:4" x14ac:dyDescent="0.25">
      <c r="A321" s="43"/>
      <c r="B321" s="49"/>
      <c r="C321" s="49"/>
      <c r="D321" s="40"/>
    </row>
    <row r="322" spans="1:4" x14ac:dyDescent="0.25">
      <c r="A322" s="43"/>
      <c r="B322" s="49"/>
      <c r="C322" s="49"/>
      <c r="D322" s="40"/>
    </row>
    <row r="323" spans="1:4" x14ac:dyDescent="0.25">
      <c r="A323" s="43"/>
      <c r="B323" s="49"/>
      <c r="C323" s="49"/>
      <c r="D323" s="40"/>
    </row>
    <row r="324" spans="1:4" x14ac:dyDescent="0.25">
      <c r="A324" s="43"/>
      <c r="B324" s="49"/>
      <c r="C324" s="49"/>
      <c r="D324" s="40"/>
    </row>
    <row r="325" spans="1:4" x14ac:dyDescent="0.25">
      <c r="A325" s="43"/>
      <c r="B325" s="49"/>
      <c r="C325" s="49"/>
      <c r="D325" s="40"/>
    </row>
    <row r="326" spans="1:4" x14ac:dyDescent="0.25">
      <c r="A326" s="43"/>
      <c r="B326" s="49"/>
      <c r="C326" s="49"/>
      <c r="D326" s="40"/>
    </row>
    <row r="327" spans="1:4" x14ac:dyDescent="0.25">
      <c r="A327" s="43"/>
      <c r="B327" s="49"/>
      <c r="C327" s="49"/>
      <c r="D327" s="40"/>
    </row>
    <row r="328" spans="1:4" x14ac:dyDescent="0.25">
      <c r="A328" s="33"/>
      <c r="B328" s="55"/>
      <c r="C328" s="55"/>
      <c r="D328" s="34"/>
    </row>
    <row r="329" spans="1:4" x14ac:dyDescent="0.25">
      <c r="A329" s="33"/>
      <c r="B329" s="55"/>
      <c r="C329" s="55"/>
      <c r="D329" s="34"/>
    </row>
    <row r="330" spans="1:4" x14ac:dyDescent="0.25">
      <c r="A330" s="33"/>
      <c r="B330" s="55"/>
      <c r="C330" s="55"/>
      <c r="D330" s="34"/>
    </row>
    <row r="331" spans="1:4" x14ac:dyDescent="0.25">
      <c r="A331" s="33"/>
      <c r="B331" s="55"/>
      <c r="C331" s="55"/>
      <c r="D331" s="34"/>
    </row>
    <row r="332" spans="1:4" x14ac:dyDescent="0.25">
      <c r="A332" s="33"/>
      <c r="B332" s="55"/>
      <c r="C332" s="55"/>
      <c r="D332" s="34"/>
    </row>
    <row r="333" spans="1:4" x14ac:dyDescent="0.25">
      <c r="A333" s="33"/>
      <c r="B333" s="55"/>
      <c r="C333" s="55"/>
      <c r="D333" s="34"/>
    </row>
    <row r="334" spans="1:4" x14ac:dyDescent="0.25">
      <c r="A334" s="33"/>
      <c r="B334" s="55"/>
      <c r="C334" s="55"/>
      <c r="D334" s="34"/>
    </row>
    <row r="335" spans="1:4" x14ac:dyDescent="0.25">
      <c r="A335" s="33"/>
      <c r="B335" s="55"/>
      <c r="C335" s="55"/>
      <c r="D335" s="34"/>
    </row>
    <row r="336" spans="1:4" x14ac:dyDescent="0.25">
      <c r="A336" s="33"/>
      <c r="B336" s="55"/>
      <c r="C336" s="55"/>
      <c r="D336" s="34"/>
    </row>
    <row r="337" spans="1:4" x14ac:dyDescent="0.25">
      <c r="A337" s="33"/>
      <c r="B337" s="55"/>
      <c r="C337" s="55"/>
      <c r="D337" s="34"/>
    </row>
    <row r="338" spans="1:4" x14ac:dyDescent="0.25">
      <c r="A338" s="33"/>
      <c r="B338" s="55"/>
      <c r="C338" s="55"/>
      <c r="D338" s="34"/>
    </row>
    <row r="339" spans="1:4" x14ac:dyDescent="0.25">
      <c r="A339" s="33"/>
      <c r="B339" s="55"/>
      <c r="C339" s="55"/>
      <c r="D339" s="34"/>
    </row>
    <row r="340" spans="1:4" x14ac:dyDescent="0.25">
      <c r="A340" s="33"/>
      <c r="B340" s="55"/>
      <c r="C340" s="55"/>
      <c r="D340" s="34"/>
    </row>
    <row r="341" spans="1:4" x14ac:dyDescent="0.25">
      <c r="A341" s="33"/>
      <c r="B341" s="55"/>
      <c r="C341" s="55"/>
      <c r="D341" s="34"/>
    </row>
    <row r="342" spans="1:4" x14ac:dyDescent="0.25">
      <c r="A342" s="33"/>
      <c r="B342" s="55"/>
      <c r="C342" s="55"/>
      <c r="D342" s="34"/>
    </row>
    <row r="343" spans="1:4" x14ac:dyDescent="0.25">
      <c r="A343" s="33"/>
      <c r="B343" s="55"/>
      <c r="C343" s="55"/>
      <c r="D343" s="34"/>
    </row>
    <row r="344" spans="1:4" x14ac:dyDescent="0.25">
      <c r="A344" s="33"/>
      <c r="B344" s="55"/>
      <c r="C344" s="55"/>
      <c r="D344" s="34"/>
    </row>
    <row r="345" spans="1:4" x14ac:dyDescent="0.25">
      <c r="A345" s="33"/>
      <c r="B345" s="55"/>
      <c r="C345" s="55"/>
      <c r="D345" s="34"/>
    </row>
    <row r="346" spans="1:4" x14ac:dyDescent="0.25">
      <c r="A346" s="33"/>
      <c r="B346" s="55"/>
      <c r="C346" s="55"/>
      <c r="D346" s="34"/>
    </row>
    <row r="347" spans="1:4" x14ac:dyDescent="0.25">
      <c r="A347" s="33"/>
      <c r="B347" s="55"/>
      <c r="C347" s="55"/>
      <c r="D347" s="34"/>
    </row>
    <row r="348" spans="1:4" x14ac:dyDescent="0.25">
      <c r="A348" s="33"/>
      <c r="B348" s="55"/>
      <c r="C348" s="55"/>
      <c r="D348" s="34"/>
    </row>
    <row r="349" spans="1:4" x14ac:dyDescent="0.25">
      <c r="A349" s="33"/>
      <c r="B349" s="55"/>
      <c r="C349" s="55"/>
      <c r="D349" s="34"/>
    </row>
    <row r="350" spans="1:4" x14ac:dyDescent="0.25">
      <c r="A350" s="33"/>
      <c r="B350" s="55"/>
      <c r="C350" s="55"/>
      <c r="D350" s="34"/>
    </row>
    <row r="351" spans="1:4" x14ac:dyDescent="0.25">
      <c r="A351" s="33"/>
      <c r="B351" s="55"/>
      <c r="C351" s="55"/>
      <c r="D351" s="34"/>
    </row>
    <row r="352" spans="1:4" x14ac:dyDescent="0.25">
      <c r="A352" s="33"/>
      <c r="B352" s="55"/>
      <c r="C352" s="55"/>
      <c r="D352" s="34"/>
    </row>
    <row r="353" spans="1:4" x14ac:dyDescent="0.25">
      <c r="A353" s="33"/>
      <c r="B353" s="55"/>
      <c r="C353" s="55"/>
      <c r="D353" s="34"/>
    </row>
    <row r="354" spans="1:4" x14ac:dyDescent="0.25">
      <c r="A354" s="33"/>
      <c r="B354" s="55"/>
      <c r="C354" s="55"/>
      <c r="D354" s="34"/>
    </row>
    <row r="355" spans="1:4" x14ac:dyDescent="0.25">
      <c r="A355" s="33"/>
      <c r="B355" s="55"/>
      <c r="C355" s="55"/>
      <c r="D355" s="34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19EAD4-A0CD-4BC3-A589-4BC2302DAB34}">
  <dimension ref="A1:H355"/>
  <sheetViews>
    <sheetView tabSelected="1" topLeftCell="A211" workbookViewId="0">
      <selection activeCell="E91" sqref="E91"/>
    </sheetView>
  </sheetViews>
  <sheetFormatPr baseColWidth="10" defaultColWidth="9.140625" defaultRowHeight="15" x14ac:dyDescent="0.25"/>
  <cols>
    <col min="1" max="1" width="68.5703125" customWidth="1"/>
    <col min="2" max="2" width="14.5703125" style="56" customWidth="1"/>
    <col min="3" max="3" width="9.140625" style="56"/>
    <col min="4" max="4" width="13.140625" style="75" customWidth="1"/>
    <col min="5" max="5" width="14.5703125" style="74" customWidth="1"/>
    <col min="6" max="6" width="13.140625" style="75" customWidth="1"/>
    <col min="7" max="7" width="11.7109375" style="56" bestFit="1" customWidth="1"/>
  </cols>
  <sheetData>
    <row r="1" spans="1:7" x14ac:dyDescent="0.25">
      <c r="A1" s="35" t="s">
        <v>118</v>
      </c>
      <c r="B1" s="54" t="s">
        <v>188</v>
      </c>
      <c r="C1" s="54" t="s">
        <v>9</v>
      </c>
      <c r="D1" s="68" t="s">
        <v>10</v>
      </c>
      <c r="E1" s="92" t="s">
        <v>11</v>
      </c>
      <c r="F1" s="68" t="s">
        <v>19</v>
      </c>
      <c r="G1" s="54" t="s">
        <v>194</v>
      </c>
    </row>
    <row r="2" spans="1:7" x14ac:dyDescent="0.25">
      <c r="A2" s="37" t="s">
        <v>391</v>
      </c>
      <c r="B2" s="38"/>
      <c r="C2" s="38"/>
      <c r="D2" s="69"/>
      <c r="E2" s="72"/>
      <c r="F2" s="69"/>
      <c r="G2" s="38"/>
    </row>
    <row r="3" spans="1:7" x14ac:dyDescent="0.25">
      <c r="A3" s="39" t="s">
        <v>58</v>
      </c>
      <c r="B3" s="49">
        <f>+COMPRAS!B3:B108</f>
        <v>0</v>
      </c>
      <c r="C3" s="49">
        <f>+InventarioTbl3[[#This Row],[Cantidad]]</f>
        <v>0</v>
      </c>
      <c r="D3" s="70">
        <f>+InventarioTbl3[[#This Row],[Costo Unit.]]</f>
        <v>0</v>
      </c>
      <c r="E3" s="70"/>
      <c r="F3" s="70">
        <f>+E3-InventarioTbl34[[#This Row],[Costo Unit.]]</f>
        <v>0</v>
      </c>
      <c r="G3" s="49">
        <f>C3-SUMIF(Ventas!D:D,"AGAVE AMERICANO",Ventas!F:F)</f>
        <v>0</v>
      </c>
    </row>
    <row r="4" spans="1:7" x14ac:dyDescent="0.25">
      <c r="A4" s="41" t="s">
        <v>59</v>
      </c>
      <c r="B4" s="49">
        <f>+COMPRAS!B4:B115</f>
        <v>0</v>
      </c>
      <c r="C4" s="49">
        <f>+InventarioTbl3[[#This Row],[Cantidad]]</f>
        <v>0</v>
      </c>
      <c r="D4" s="70">
        <f>+InventarioTbl3[[#This Row],[Costo Unit.]]</f>
        <v>0</v>
      </c>
      <c r="E4" s="70"/>
      <c r="F4" s="70">
        <f>+E4-InventarioTbl34[[#This Row],[Costo Unit.]]</f>
        <v>0</v>
      </c>
      <c r="G4" s="49">
        <f>C4-SUMIF(Ventas!D:D,"AGAVE AMERICANO VARIEGADO",Ventas!F:F)</f>
        <v>0</v>
      </c>
    </row>
    <row r="5" spans="1:7" x14ac:dyDescent="0.25">
      <c r="A5" s="42" t="s">
        <v>60</v>
      </c>
      <c r="B5" s="49">
        <f>+COMPRAS!B5:B116</f>
        <v>0</v>
      </c>
      <c r="C5" s="49">
        <f>+InventarioTbl3[[#This Row],[Cantidad]]</f>
        <v>0</v>
      </c>
      <c r="D5" s="70">
        <f>+InventarioTbl3[[#This Row],[Costo Unit.]]</f>
        <v>0</v>
      </c>
      <c r="E5" s="70"/>
      <c r="F5" s="70">
        <f>+E5-InventarioTbl34[[#This Row],[Costo Unit.]]</f>
        <v>0</v>
      </c>
      <c r="G5" s="49">
        <f>C5-SUMIF(Ventas!D:D,"AGAVE ANGUSTIFOLIA MAGUEY",Ventas!F:F)</f>
        <v>0</v>
      </c>
    </row>
    <row r="6" spans="1:7" x14ac:dyDescent="0.25">
      <c r="A6" s="41" t="s">
        <v>57</v>
      </c>
      <c r="B6" s="49">
        <f>+COMPRAS!B6:B117</f>
        <v>0</v>
      </c>
      <c r="C6" s="49">
        <f>+InventarioTbl3[[#This Row],[Cantidad]]</f>
        <v>0</v>
      </c>
      <c r="D6" s="70">
        <f>+InventarioTbl3[[#This Row],[Costo Unit.]]</f>
        <v>0</v>
      </c>
      <c r="E6" s="70"/>
      <c r="F6" s="70">
        <f>+E6-InventarioTbl34[[#This Row],[Costo Unit.]]</f>
        <v>0</v>
      </c>
      <c r="G6" s="49">
        <f>C6-SUMIF(Ventas!D:D,"AGAVE ATENUATA",Ventas!F:F)</f>
        <v>0</v>
      </c>
    </row>
    <row r="7" spans="1:7" x14ac:dyDescent="0.25">
      <c r="A7" s="41" t="s">
        <v>61</v>
      </c>
      <c r="B7" s="49">
        <f>+COMPRAS!B7:B118</f>
        <v>0</v>
      </c>
      <c r="C7" s="49">
        <f>+InventarioTbl3[[#This Row],[Cantidad]]</f>
        <v>0</v>
      </c>
      <c r="D7" s="70">
        <f>+InventarioTbl3[[#This Row],[Costo Unit.]]</f>
        <v>0</v>
      </c>
      <c r="E7" s="70"/>
      <c r="F7" s="70">
        <f>+E7-InventarioTbl34[[#This Row],[Costo Unit.]]</f>
        <v>0</v>
      </c>
      <c r="G7" s="49">
        <f>C7-SUMIF(Ventas!D:D,"AGAVE DESMETTIANA VARIEGADO",Ventas!F:F)</f>
        <v>0</v>
      </c>
    </row>
    <row r="8" spans="1:7" x14ac:dyDescent="0.25">
      <c r="A8" s="42" t="s">
        <v>62</v>
      </c>
      <c r="B8" s="49">
        <f>+COMPRAS!B8:B119</f>
        <v>0</v>
      </c>
      <c r="C8" s="49">
        <f>+InventarioTbl3[[#This Row],[Cantidad]]</f>
        <v>0</v>
      </c>
      <c r="D8" s="70">
        <f>+InventarioTbl3[[#This Row],[Costo Unit.]]</f>
        <v>0</v>
      </c>
      <c r="E8" s="70"/>
      <c r="F8" s="70">
        <f>+E8-InventarioTbl34[[#This Row],[Costo Unit.]]</f>
        <v>0</v>
      </c>
      <c r="G8" s="49">
        <f>C8-SUMIF(Ventas!D:D,"AGAVE DESMETTIANA VARIEGADO",Ventas!F:F)</f>
        <v>0</v>
      </c>
    </row>
    <row r="9" spans="1:7" x14ac:dyDescent="0.25">
      <c r="A9" s="41" t="s">
        <v>208</v>
      </c>
      <c r="B9" s="49">
        <f>+COMPRAS!B9:B120</f>
        <v>3</v>
      </c>
      <c r="C9" s="49">
        <f>+InventarioTbl3[[#This Row],[Cantidad]]</f>
        <v>3</v>
      </c>
      <c r="D9" s="70">
        <f>+InventarioTbl3[[#This Row],[Costo Unit.]]</f>
        <v>12828</v>
      </c>
      <c r="E9" s="70">
        <v>20000</v>
      </c>
      <c r="F9" s="70">
        <f>+E9-InventarioTbl34[[#This Row],[Costo Unit.]]</f>
        <v>7172</v>
      </c>
      <c r="G9" s="49">
        <f>C9-SUMIF(Ventas!D:D,"AGLONEMA FREEDMAN",Ventas!F:F)</f>
        <v>3</v>
      </c>
    </row>
    <row r="10" spans="1:7" x14ac:dyDescent="0.25">
      <c r="A10" s="42" t="s">
        <v>48</v>
      </c>
      <c r="B10" s="49" t="str">
        <f>+COMPRAS!B10:B121</f>
        <v>2/3L</v>
      </c>
      <c r="C10" s="49">
        <f>+InventarioTbl3[[#This Row],[Cantidad]]</f>
        <v>10</v>
      </c>
      <c r="D10" s="70">
        <f>+InventarioTbl3[[#This Row],[Costo Unit.]]</f>
        <v>12828</v>
      </c>
      <c r="E10" s="70">
        <v>20000</v>
      </c>
      <c r="F10" s="70">
        <f>+E10-InventarioTbl34[[#This Row],[Costo Unit.]]</f>
        <v>7172</v>
      </c>
      <c r="G10" s="49">
        <f>C10-SUMIF(Ventas!D:D,"AGLONEMA PATTAYA",Ventas!F:F)</f>
        <v>10</v>
      </c>
    </row>
    <row r="11" spans="1:7" x14ac:dyDescent="0.25">
      <c r="A11" s="42" t="s">
        <v>187</v>
      </c>
      <c r="B11" s="49">
        <f>+COMPRAS!B11:B122</f>
        <v>3</v>
      </c>
      <c r="C11" s="49">
        <f>+InventarioTbl3[[#This Row],[Cantidad]]</f>
        <v>10</v>
      </c>
      <c r="D11" s="70">
        <f>+InventarioTbl3[[#This Row],[Costo Unit.]]</f>
        <v>4000</v>
      </c>
      <c r="E11" s="70">
        <v>9000</v>
      </c>
      <c r="F11" s="70">
        <f>+E11-InventarioTbl34[[#This Row],[Costo Unit.]]</f>
        <v>5000</v>
      </c>
      <c r="G11" s="49">
        <f>C11-SUMIF(Ventas!D:D,"AGLONEMA PINK",Ventas!F:F)</f>
        <v>6</v>
      </c>
    </row>
    <row r="12" spans="1:7" x14ac:dyDescent="0.25">
      <c r="A12" s="59" t="str">
        <f>+InventarioTbl3[[#This Row],[ESPECIE]]</f>
        <v>ALEGRIA DEL HOGAR</v>
      </c>
      <c r="B12" s="49"/>
      <c r="C12" s="49">
        <f>+InventarioTbl3[[#This Row],[Cantidad]]</f>
        <v>74</v>
      </c>
      <c r="D12" s="70">
        <f>+InventarioTbl3[[#This Row],[Costo Unit.]]</f>
        <v>700</v>
      </c>
      <c r="E12" s="70">
        <v>3000</v>
      </c>
      <c r="F12" s="70">
        <f>+E12-InventarioTbl34[[#This Row],[Costo Unit.]]</f>
        <v>2300</v>
      </c>
      <c r="G12" s="49">
        <f>C12-SUMIF(Ventas!D:D,"ALEGRIA",Ventas!F:F)</f>
        <v>73</v>
      </c>
    </row>
    <row r="13" spans="1:7" s="33" customFormat="1" x14ac:dyDescent="0.25">
      <c r="A13" s="59" t="s">
        <v>191</v>
      </c>
      <c r="B13" s="49">
        <f>+COMPRAS!B13:B125</f>
        <v>1</v>
      </c>
      <c r="C13" s="49">
        <f>+InventarioTbl3[[#This Row],[Cantidad]]</f>
        <v>60</v>
      </c>
      <c r="D13" s="70">
        <f>+InventarioTbl3[[#This Row],[Costo Unit.]]</f>
        <v>1500</v>
      </c>
      <c r="E13" s="70">
        <v>3500</v>
      </c>
      <c r="F13" s="70">
        <f>+E13-InventarioTbl34[[#This Row],[Costo Unit.]]</f>
        <v>2000</v>
      </c>
      <c r="G13" s="49">
        <f>C13-SUMIF(Ventas!D:D,"ALISO DE MAR",Ventas!F:F)</f>
        <v>29</v>
      </c>
    </row>
    <row r="14" spans="1:7" x14ac:dyDescent="0.25">
      <c r="A14" s="59" t="s">
        <v>235</v>
      </c>
      <c r="B14" s="49">
        <f>+COMPRAS!B14:B126</f>
        <v>3</v>
      </c>
      <c r="C14" s="49">
        <f>+InventarioTbl3[[#This Row],[Cantidad]]</f>
        <v>24</v>
      </c>
      <c r="D14" s="70">
        <f>+InventarioTbl3[[#This Row],[Costo Unit.]]</f>
        <v>3000</v>
      </c>
      <c r="E14" s="70">
        <v>12000</v>
      </c>
      <c r="F14" s="70">
        <f>+E14-InventarioTbl34[[#This Row],[Costo Unit.]]</f>
        <v>9000</v>
      </c>
      <c r="G14" s="49">
        <f>C14-SUMIF(Ventas!D:D,"ALPINIA",Ventas!F:F)</f>
        <v>23</v>
      </c>
    </row>
    <row r="15" spans="1:7" x14ac:dyDescent="0.25">
      <c r="A15" s="41" t="s">
        <v>76</v>
      </c>
      <c r="B15" s="49">
        <f>+COMPRAS!B15:B126</f>
        <v>0</v>
      </c>
      <c r="C15" s="49">
        <f>+InventarioTbl3[[#This Row],[Cantidad]]</f>
        <v>0</v>
      </c>
      <c r="D15" s="70">
        <f>+InventarioTbl3[[#This Row],[Costo Unit.]]</f>
        <v>0</v>
      </c>
      <c r="E15" s="70"/>
      <c r="F15" s="70">
        <f>+E15-InventarioTbl34[[#This Row],[Costo Unit.]]</f>
        <v>0</v>
      </c>
      <c r="G15" s="49">
        <f>C15-SUMIF(Ventas!D:D,"ALTERNANTHERA BRASILIANA",Ventas!F:F)</f>
        <v>0</v>
      </c>
    </row>
    <row r="16" spans="1:7" x14ac:dyDescent="0.25">
      <c r="A16" s="42" t="s">
        <v>77</v>
      </c>
      <c r="B16" s="49">
        <f>+COMPRAS!B16:B127</f>
        <v>0</v>
      </c>
      <c r="C16" s="49">
        <f>+InventarioTbl3[[#This Row],[Cantidad]]</f>
        <v>0</v>
      </c>
      <c r="D16" s="70">
        <f>+InventarioTbl3[[#This Row],[Costo Unit.]]</f>
        <v>0</v>
      </c>
      <c r="E16" s="70"/>
      <c r="F16" s="70">
        <f>+E16-InventarioTbl34[[#This Row],[Costo Unit.]]</f>
        <v>0</v>
      </c>
      <c r="G16" s="49">
        <f>C16-SUMIF(Ventas!D:D,"ALTERNANTHERA FICOIDEA RED",Ventas!F:F)</f>
        <v>0</v>
      </c>
    </row>
    <row r="17" spans="1:7" x14ac:dyDescent="0.25">
      <c r="A17" s="41" t="s">
        <v>78</v>
      </c>
      <c r="B17" s="49">
        <f>+COMPRAS!B17:B128</f>
        <v>0</v>
      </c>
      <c r="C17" s="49">
        <f>+InventarioTbl3[[#This Row],[Cantidad]]</f>
        <v>0</v>
      </c>
      <c r="D17" s="70">
        <f>+InventarioTbl3[[#This Row],[Costo Unit.]]</f>
        <v>0</v>
      </c>
      <c r="E17" s="70"/>
      <c r="F17" s="70">
        <f>+E17-InventarioTbl34[[#This Row],[Costo Unit.]]</f>
        <v>0</v>
      </c>
      <c r="G17" s="49">
        <f>C17-SUMIF(Ventas!D:D,"ALTERNANTHERA FICOIDEA VERDE",Ventas!F:F)</f>
        <v>0</v>
      </c>
    </row>
    <row r="18" spans="1:7" x14ac:dyDescent="0.25">
      <c r="A18" s="58" t="str">
        <f>+InventarioTbl3[[#This Row],[ESPECIE]]</f>
        <v>ALOCACIA (OREJA DE ELEFANTE) CHICA</v>
      </c>
      <c r="B18" s="49">
        <f>+COMPRAS!B18:B129</f>
        <v>0</v>
      </c>
      <c r="C18" s="49">
        <f>+InventarioTbl3[[#This Row],[Cantidad]]</f>
        <v>9</v>
      </c>
      <c r="D18" s="70">
        <f>+InventarioTbl3[[#This Row],[Costo Unit.]]</f>
        <v>3500</v>
      </c>
      <c r="E18" s="70">
        <v>10000</v>
      </c>
      <c r="F18" s="70">
        <f>+E18-InventarioTbl34[[#This Row],[Costo Unit.]]</f>
        <v>6500</v>
      </c>
      <c r="G18" s="49">
        <f>C18-SUMIF(Ventas!D:D,"ALOCACIA CHICA",Ventas!F:F)</f>
        <v>9</v>
      </c>
    </row>
    <row r="19" spans="1:7" x14ac:dyDescent="0.25">
      <c r="A19" s="58" t="str">
        <f>+InventarioTbl3[[#This Row],[ESPECIE]]</f>
        <v>ALOCACIA (OREJA DE ELEFANTE) MEDIANA</v>
      </c>
      <c r="B19" s="49">
        <f>+COMPRAS!B19:B130</f>
        <v>0</v>
      </c>
      <c r="C19" s="49">
        <f>+InventarioTbl3[[#This Row],[Cantidad]]</f>
        <v>7</v>
      </c>
      <c r="D19" s="70">
        <f>+InventarioTbl3[[#This Row],[Costo Unit.]]</f>
        <v>5000</v>
      </c>
      <c r="E19" s="70">
        <v>15000</v>
      </c>
      <c r="F19" s="70">
        <f>+E19-InventarioTbl34[[#This Row],[Costo Unit.]]</f>
        <v>10000</v>
      </c>
      <c r="G19" s="49">
        <f>C19-SUMIF(Ventas!D:D,"ALOCACIA MEDIANA",Ventas!F:F)</f>
        <v>4</v>
      </c>
    </row>
    <row r="20" spans="1:7" x14ac:dyDescent="0.25">
      <c r="A20" s="58" t="str">
        <f>+InventarioTbl3[[#This Row],[ESPECIE]]</f>
        <v>ALOCACIA (OREJA DE ELEFANTE) GRANDE</v>
      </c>
      <c r="B20" s="49" t="str">
        <f>+COMPRAS!B20:B130</f>
        <v>M15</v>
      </c>
      <c r="C20" s="49">
        <f>+InventarioTbl3[[#This Row],[Cantidad]]</f>
        <v>2</v>
      </c>
      <c r="D20" s="70">
        <f>+InventarioTbl3[[#This Row],[Costo Unit.]]</f>
        <v>16000</v>
      </c>
      <c r="E20" s="70">
        <v>40000</v>
      </c>
      <c r="F20" s="70">
        <f>+E20-InventarioTbl34[[#This Row],[Costo Unit.]]</f>
        <v>24000</v>
      </c>
      <c r="G20" s="49">
        <f>C20-SUMIF(Ventas!D:D,"ALOCACIA GRANDE",Ventas!F:F)</f>
        <v>2</v>
      </c>
    </row>
    <row r="21" spans="1:7" x14ac:dyDescent="0.25">
      <c r="A21" s="58" t="s">
        <v>206</v>
      </c>
      <c r="B21" s="49" t="str">
        <f>+COMPRAS!B21:B129</f>
        <v>3/5L</v>
      </c>
      <c r="C21" s="49">
        <f>+InventarioTbl3[[#This Row],[Cantidad]]</f>
        <v>14</v>
      </c>
      <c r="D21" s="70">
        <f>+InventarioTbl3[[#This Row],[Costo Unit.]]</f>
        <v>0</v>
      </c>
      <c r="E21" s="70">
        <v>14000</v>
      </c>
      <c r="F21" s="70">
        <f>+E21-InventarioTbl34[[#This Row],[Costo Unit.]]</f>
        <v>14000</v>
      </c>
      <c r="G21" s="49">
        <f>C21-SUMIF(Ventas!D:D,"ANTHURIUM",Ventas!F:F)</f>
        <v>12</v>
      </c>
    </row>
    <row r="22" spans="1:7" x14ac:dyDescent="0.25">
      <c r="A22" s="41" t="s">
        <v>47</v>
      </c>
      <c r="B22" s="49">
        <f>+COMPRAS!B22:B130</f>
        <v>0.9</v>
      </c>
      <c r="C22" s="49">
        <f>+InventarioTbl3[[#This Row],[Cantidad]]</f>
        <v>6</v>
      </c>
      <c r="D22" s="70">
        <f>+InventarioTbl3[[#This Row],[Costo Unit.]]</f>
        <v>10000</v>
      </c>
      <c r="E22" s="70">
        <v>13000</v>
      </c>
      <c r="F22" s="70">
        <f>+E22-InventarioTbl34[[#This Row],[Costo Unit.]]</f>
        <v>3000</v>
      </c>
      <c r="G22" s="49">
        <f>C22-SUMIF(Ventas!D:D,"ANTHURIUM ROJO",Ventas!F:F)</f>
        <v>6</v>
      </c>
    </row>
    <row r="23" spans="1:7" x14ac:dyDescent="0.25">
      <c r="A23" s="58" t="str">
        <f>+InventarioTbl3[[#This Row],[ESPECIE]]</f>
        <v>ASTA DE CIERVO</v>
      </c>
      <c r="B23" s="49"/>
      <c r="C23" s="49">
        <f>+InventarioTbl3[[#This Row],[Cantidad]]</f>
        <v>3</v>
      </c>
      <c r="D23" s="70">
        <f>+InventarioTbl3[[#This Row],[Costo Unit.]]</f>
        <v>0</v>
      </c>
      <c r="E23" s="70" t="s">
        <v>481</v>
      </c>
      <c r="F23" s="70"/>
      <c r="G23" s="49">
        <f>C23-SUMIF(Ventas!D:D,"ASTA DE CIERVO",Ventas!F:F)</f>
        <v>2</v>
      </c>
    </row>
    <row r="24" spans="1:7" x14ac:dyDescent="0.25">
      <c r="A24" s="58" t="str">
        <f>+COMPRAS!A24</f>
        <v>ASCLEPIA</v>
      </c>
      <c r="B24" s="49"/>
      <c r="C24" s="49">
        <f>+InventarioTbl3[[#This Row],[Cantidad]]</f>
        <v>9</v>
      </c>
      <c r="D24" s="70">
        <f>+InventarioTbl3[[#This Row],[Costo Unit.]]</f>
        <v>2500</v>
      </c>
      <c r="E24" s="70">
        <v>7500</v>
      </c>
      <c r="F24" s="70">
        <f>+E24-InventarioTbl34[[#This Row],[Costo Unit.]]</f>
        <v>5000</v>
      </c>
      <c r="G24" s="49">
        <f>C24-SUMIF(Ventas!D:D,"ASCLEPIA",Ventas!F:F)</f>
        <v>6</v>
      </c>
    </row>
    <row r="25" spans="1:7" x14ac:dyDescent="0.25">
      <c r="A25" s="58" t="s">
        <v>219</v>
      </c>
      <c r="B25" s="49" t="str">
        <f>+COMPRAS!B25:B132</f>
        <v>2/3L</v>
      </c>
      <c r="C25" s="49">
        <f>+InventarioTbl3[[#This Row],[Cantidad]]</f>
        <v>22</v>
      </c>
      <c r="D25" s="70">
        <f>+InventarioTbl3[[#This Row],[Costo Unit.]]</f>
        <v>0</v>
      </c>
      <c r="E25" s="70">
        <v>10000</v>
      </c>
      <c r="F25" s="70">
        <f>+E25-InventarioTbl34[[#This Row],[Costo Unit.]]</f>
        <v>10000</v>
      </c>
      <c r="G25" s="49">
        <f>C25-SUMIF(Ventas!D:D,"AZUCENA DE MEXICO",Ventas!F:F)</f>
        <v>21</v>
      </c>
    </row>
    <row r="26" spans="1:7" x14ac:dyDescent="0.25">
      <c r="A26" s="58" t="s">
        <v>226</v>
      </c>
      <c r="B26" s="49">
        <f>+COMPRAS!B26:B133</f>
        <v>5</v>
      </c>
      <c r="C26" s="49">
        <f>+InventarioTbl3[[#This Row],[Cantidad]]</f>
        <v>4</v>
      </c>
      <c r="D26" s="70">
        <f>+InventarioTbl3[[#This Row],[Costo Unit.]]</f>
        <v>0</v>
      </c>
      <c r="E26" s="70">
        <v>10000</v>
      </c>
      <c r="F26" s="70">
        <f>+E26-InventarioTbl34[[#This Row],[Costo Unit.]]</f>
        <v>10000</v>
      </c>
      <c r="G26" s="49">
        <f>C26-SUMIF(Ventas!D:D,"BEGONIA ALA DE ANGEL",Ventas!F:F)</f>
        <v>4</v>
      </c>
    </row>
    <row r="27" spans="1:7" x14ac:dyDescent="0.25">
      <c r="A27" s="42" t="s">
        <v>195</v>
      </c>
      <c r="B27" s="49">
        <f>+COMPRAS!B27:B134</f>
        <v>3</v>
      </c>
      <c r="C27" s="49">
        <f>+InventarioTbl3[[#This Row],[Cantidad]]</f>
        <v>10</v>
      </c>
      <c r="D27" s="70">
        <f>+InventarioTbl3[[#This Row],[Costo Unit.]]</f>
        <v>3000</v>
      </c>
      <c r="E27" s="70">
        <v>10000</v>
      </c>
      <c r="F27" s="70">
        <f>+E27-InventarioTbl34[[#This Row],[Costo Unit.]]</f>
        <v>7000</v>
      </c>
      <c r="G27" s="49">
        <f>C27-SUMIF(Ventas!D:D,"BEGONIA DRAGON",Ventas!F:F)</f>
        <v>5</v>
      </c>
    </row>
    <row r="28" spans="1:7" x14ac:dyDescent="0.25">
      <c r="A28" s="59" t="s">
        <v>210</v>
      </c>
      <c r="B28" s="49">
        <f>+COMPRAS!B28:B135</f>
        <v>3</v>
      </c>
      <c r="C28" s="49">
        <f>+InventarioTbl3[[#This Row],[Cantidad]]</f>
        <v>5</v>
      </c>
      <c r="D28" s="70">
        <f>+InventarioTbl3[[#This Row],[Costo Unit.]]</f>
        <v>0</v>
      </c>
      <c r="E28" s="70">
        <v>10000</v>
      </c>
      <c r="F28" s="70">
        <f>+E28-InventarioTbl34[[#This Row],[Costo Unit.]]</f>
        <v>10000</v>
      </c>
      <c r="G28" s="49">
        <f>C28-SUMIF(Ventas!D:D,"BEGONIA HIRTELLA",Ventas!F:F)</f>
        <v>5</v>
      </c>
    </row>
    <row r="29" spans="1:7" x14ac:dyDescent="0.25">
      <c r="A29" s="59" t="s">
        <v>243</v>
      </c>
      <c r="B29" s="49" t="str">
        <f>+COMPRAS!B29:B136</f>
        <v>COLGANTE</v>
      </c>
      <c r="C29" s="49">
        <f>+InventarioTbl3[[#This Row],[Cantidad]]</f>
        <v>3</v>
      </c>
      <c r="D29" s="70">
        <f>+InventarioTbl3[[#This Row],[Costo Unit.]]</f>
        <v>4500</v>
      </c>
      <c r="E29" s="70">
        <v>10000</v>
      </c>
      <c r="F29" s="70">
        <f>+E29-InventarioTbl34[[#This Row],[Costo Unit.]]</f>
        <v>5500</v>
      </c>
      <c r="G29" s="49">
        <f>C29-SUMIF(Ventas!D:D,"BEGONIA BOOMER",Ventas!F:F)</f>
        <v>0</v>
      </c>
    </row>
    <row r="30" spans="1:7" x14ac:dyDescent="0.25">
      <c r="A30" s="59" t="str">
        <f>+InventarioTbl3[[#This Row],[ESPECIE]]</f>
        <v>BEGONIA RED</v>
      </c>
      <c r="B30" s="49">
        <f>+COMPRAS!B30:B137</f>
        <v>0</v>
      </c>
      <c r="C30" s="49">
        <f>+InventarioTbl3[[#This Row],[Cantidad]]</f>
        <v>12</v>
      </c>
      <c r="D30" s="70">
        <f>+InventarioTbl3[[#This Row],[Costo Unit.]]</f>
        <v>700</v>
      </c>
      <c r="E30" s="70">
        <v>2500</v>
      </c>
      <c r="F30" s="70">
        <f>+E30-InventarioTbl34[[#This Row],[Costo Unit.]]</f>
        <v>1800</v>
      </c>
      <c r="G30" s="49">
        <f>C30-SUMIF(Ventas!D:D,"BEGONIA RED",Ventas!F:F)</f>
        <v>11</v>
      </c>
    </row>
    <row r="31" spans="1:7" x14ac:dyDescent="0.25">
      <c r="A31" s="59" t="str">
        <f>+InventarioTbl3[[#This Row],[ESPECIE]]</f>
        <v>BEGONIA REY (PLATEADA)</v>
      </c>
      <c r="B31" s="49" t="str">
        <f>+COMPRAS!B31:B138</f>
        <v>COLGANTE</v>
      </c>
      <c r="C31" s="49">
        <f>+InventarioTbl3[[#This Row],[Cantidad]]</f>
        <v>2</v>
      </c>
      <c r="D31" s="70">
        <f>+InventarioTbl3[[#This Row],[Costo Unit.]]</f>
        <v>5500</v>
      </c>
      <c r="E31" s="70">
        <v>10000</v>
      </c>
      <c r="F31" s="70">
        <f>+E31-InventarioTbl34[[#This Row],[Costo Unit.]]</f>
        <v>4500</v>
      </c>
      <c r="G31" s="49">
        <f>C31-SUMIF(Ventas!D:D,"BEGONIA REY",Ventas!F:F)</f>
        <v>1</v>
      </c>
    </row>
    <row r="32" spans="1:7" x14ac:dyDescent="0.25">
      <c r="A32" s="59" t="s">
        <v>231</v>
      </c>
      <c r="B32" s="49">
        <f>+COMPRAS!B32:B138</f>
        <v>3</v>
      </c>
      <c r="C32" s="49">
        <f>+InventarioTbl3[[#This Row],[Cantidad]]</f>
        <v>4</v>
      </c>
      <c r="D32" s="70">
        <f>+InventarioTbl3[[#This Row],[Costo Unit.]]</f>
        <v>0</v>
      </c>
      <c r="E32" s="70">
        <v>12000</v>
      </c>
      <c r="F32" s="70">
        <f>+E32-InventarioTbl34[[#This Row],[Costo Unit.]]</f>
        <v>12000</v>
      </c>
      <c r="G32" s="49">
        <f>C32-SUMIF(Ventas!D:D,"BROMELIA",Ventas!F:F)</f>
        <v>4</v>
      </c>
    </row>
    <row r="33" spans="1:7" x14ac:dyDescent="0.25">
      <c r="A33" s="59" t="s">
        <v>217</v>
      </c>
      <c r="B33" s="49" t="str">
        <f>+COMPRAS!B33:B140</f>
        <v>1/2L</v>
      </c>
      <c r="C33" s="49">
        <f>+InventarioTbl3[[#This Row],[Cantidad]]</f>
        <v>4</v>
      </c>
      <c r="D33" s="70">
        <f>+InventarioTbl3[[#This Row],[Costo Unit.]]</f>
        <v>0</v>
      </c>
      <c r="E33" s="70">
        <v>15000</v>
      </c>
      <c r="F33" s="70">
        <f>+E33-InventarioTbl34[[#This Row],[Costo Unit.]]</f>
        <v>15000</v>
      </c>
      <c r="G33" s="49">
        <f>C33-SUMIF(Ventas!D:D,"BROMELIA FOSFORITO",Ventas!F:F)</f>
        <v>4</v>
      </c>
    </row>
    <row r="34" spans="1:7" x14ac:dyDescent="0.25">
      <c r="A34" s="59" t="str">
        <f>+InventarioTbl3[[#This Row],[ESPECIE]]</f>
        <v>CALA BLANCA</v>
      </c>
      <c r="B34" s="49">
        <f>+COMPRAS!B34:B142</f>
        <v>0</v>
      </c>
      <c r="C34" s="49">
        <f>+InventarioTbl3[[#This Row],[Cantidad]]</f>
        <v>9</v>
      </c>
      <c r="D34" s="70">
        <f>+InventarioTbl3[[#This Row],[Costo Unit.]]</f>
        <v>6500</v>
      </c>
      <c r="E34" s="70">
        <v>12000</v>
      </c>
      <c r="F34" s="70">
        <f>+E34-InventarioTbl34[[#This Row],[Costo Unit.]]</f>
        <v>5500</v>
      </c>
      <c r="G34" s="49">
        <f>C34-SUMIF(Ventas!D:D,"CALA BLANCA",Ventas!F:F)</f>
        <v>5</v>
      </c>
    </row>
    <row r="35" spans="1:7" x14ac:dyDescent="0.25">
      <c r="A35" s="42" t="s">
        <v>37</v>
      </c>
      <c r="B35" s="49">
        <f>+COMPRAS!B35:B142</f>
        <v>1.5</v>
      </c>
      <c r="C35" s="49">
        <f>+InventarioTbl3[[#This Row],[Cantidad]]</f>
        <v>5</v>
      </c>
      <c r="D35" s="70">
        <f>+InventarioTbl3[[#This Row],[Costo Unit.]]</f>
        <v>10000</v>
      </c>
      <c r="E35" s="70">
        <v>20000</v>
      </c>
      <c r="F35" s="70">
        <f>+E35-InventarioTbl34[[#This Row],[Costo Unit.]]</f>
        <v>10000</v>
      </c>
      <c r="G35" s="49">
        <f>C35-SUMIF(Ventas!D:D,"CALATHEA MACOYANA",Ventas!F:F)</f>
        <v>5</v>
      </c>
    </row>
    <row r="36" spans="1:7" x14ac:dyDescent="0.25">
      <c r="A36" s="59" t="str">
        <f>+InventarioTbl3[[#This Row],[ESPECIE]]</f>
        <v>CALATHEA MACOYANA CHICA</v>
      </c>
      <c r="B36" s="49">
        <f>+COMPRAS!B36:B143</f>
        <v>0.5</v>
      </c>
      <c r="C36" s="49">
        <f>+InventarioTbl3[[#This Row],[Cantidad]]</f>
        <v>5</v>
      </c>
      <c r="D36" s="70">
        <f>+InventarioTbl3[[#This Row],[Costo Unit.]]</f>
        <v>3100</v>
      </c>
      <c r="E36" s="70">
        <v>10000</v>
      </c>
      <c r="F36" s="70">
        <f>+E36-InventarioTbl34[[#This Row],[Costo Unit.]]</f>
        <v>6900</v>
      </c>
      <c r="G36" s="49">
        <f>C36-SUMIF(Ventas!D:D,"CALATHEA MACOYANA CHICA",Ventas!F:F)</f>
        <v>3</v>
      </c>
    </row>
    <row r="37" spans="1:7" x14ac:dyDescent="0.25">
      <c r="A37" s="41" t="s">
        <v>42</v>
      </c>
      <c r="B37" s="49">
        <f>+COMPRAS!B37:B143</f>
        <v>3</v>
      </c>
      <c r="C37" s="49">
        <f>+InventarioTbl3[[#This Row],[Cantidad]]</f>
        <v>5</v>
      </c>
      <c r="D37" s="70">
        <f>+InventarioTbl3[[#This Row],[Costo Unit.]]</f>
        <v>9000</v>
      </c>
      <c r="E37" s="70">
        <v>14000</v>
      </c>
      <c r="F37" s="70">
        <f>+E37-InventarioTbl34[[#This Row],[Costo Unit.]]</f>
        <v>5000</v>
      </c>
      <c r="G37" s="49">
        <f>C37-SUMIF(Ventas!D:D,"CALATHEA MIL RAYAS",Ventas!F:F)</f>
        <v>3</v>
      </c>
    </row>
    <row r="38" spans="1:7" x14ac:dyDescent="0.25">
      <c r="A38" s="41" t="s">
        <v>38</v>
      </c>
      <c r="B38" s="49">
        <f>+COMPRAS!B38:B144</f>
        <v>5</v>
      </c>
      <c r="C38" s="49">
        <f>+InventarioTbl3[[#This Row],[Cantidad]]</f>
        <v>5</v>
      </c>
      <c r="D38" s="70">
        <f>+InventarioTbl3[[#This Row],[Costo Unit.]]</f>
        <v>18000</v>
      </c>
      <c r="E38" s="70">
        <v>32000</v>
      </c>
      <c r="F38" s="70">
        <f>+E38-InventarioTbl34[[#This Row],[Costo Unit.]]</f>
        <v>14000</v>
      </c>
      <c r="G38" s="49">
        <f>C38-SUMIF(Ventas!D:D,"CALATHEA ZEBRINA",Ventas!F:F)</f>
        <v>0</v>
      </c>
    </row>
    <row r="39" spans="1:7" x14ac:dyDescent="0.25">
      <c r="A39" s="41" t="str">
        <f>+InventarioTbl3[[#This Row],[ESPECIE]]</f>
        <v>CALISTEMO</v>
      </c>
      <c r="B39" s="49"/>
      <c r="C39" s="49">
        <f>+InventarioTbl3[[#This Row],[Cantidad]]</f>
        <v>5</v>
      </c>
      <c r="D39" s="70">
        <f>+InventarioTbl3[[#This Row],[Costo Unit.]]</f>
        <v>3000</v>
      </c>
      <c r="E39" s="70">
        <v>10000</v>
      </c>
      <c r="F39" s="70">
        <f>+E39-InventarioTbl34[[#This Row],[Costo Unit.]]</f>
        <v>7000</v>
      </c>
      <c r="G39" s="49">
        <f>C39-SUMIF(Ventas!D:D,"CALISTEMO",Ventas!F:F)</f>
        <v>5</v>
      </c>
    </row>
    <row r="40" spans="1:7" x14ac:dyDescent="0.25">
      <c r="A40" s="41" t="str">
        <f>+InventarioTbl3[[#This Row],[ESPECIE]]</f>
        <v>CLAVELINA</v>
      </c>
      <c r="B40" s="49"/>
      <c r="C40" s="49">
        <f>+InventarioTbl3[[#This Row],[Cantidad]]</f>
        <v>60</v>
      </c>
      <c r="D40" s="70">
        <f>+InventarioTbl3[[#This Row],[Costo Unit.]]</f>
        <v>770</v>
      </c>
      <c r="E40" s="70">
        <v>3000</v>
      </c>
      <c r="F40" s="70">
        <f>+E40-InventarioTbl34[[#This Row],[Costo Unit.]]</f>
        <v>2230</v>
      </c>
      <c r="G40" s="49">
        <f>C40-SUMIF(Ventas!D:D,"CLAVELINA",Ventas!F:F)</f>
        <v>60</v>
      </c>
    </row>
    <row r="41" spans="1:7" x14ac:dyDescent="0.25">
      <c r="A41" s="41" t="str">
        <f>+InventarioTbl3[[#This Row],[ESPECIE]]</f>
        <v>CRISANTEMO</v>
      </c>
      <c r="B41" s="49">
        <f>+COMPRAS!B41:B145</f>
        <v>0</v>
      </c>
      <c r="C41" s="49">
        <f>+InventarioTbl3[[#This Row],[Cantidad]]</f>
        <v>12</v>
      </c>
      <c r="D41" s="70">
        <f>+InventarioTbl3[[#This Row],[Costo Unit.]]</f>
        <v>7000</v>
      </c>
      <c r="E41" s="70">
        <v>12000</v>
      </c>
      <c r="F41" s="70">
        <f>+E41-InventarioTbl34[[#This Row],[Costo Unit.]]</f>
        <v>5000</v>
      </c>
      <c r="G41" s="49">
        <f>C41-SUMIF(Ventas!D:D,"CRISANTEMO",Ventas!F:F)</f>
        <v>0</v>
      </c>
    </row>
    <row r="42" spans="1:7" x14ac:dyDescent="0.25">
      <c r="A42" s="41" t="str">
        <f>+InventarioTbl3[[#This Row],[ESPECIE]]</f>
        <v>COPETITO</v>
      </c>
      <c r="B42" s="49"/>
      <c r="C42" s="49">
        <f>+InventarioTbl3[[#This Row],[Cantidad]]</f>
        <v>15</v>
      </c>
      <c r="D42" s="70">
        <f>+InventarioTbl3[[#This Row],[Costo Unit.]]</f>
        <v>700</v>
      </c>
      <c r="E42" s="70">
        <v>2500</v>
      </c>
      <c r="F42" s="70">
        <f>+E42-InventarioTbl34[[#This Row],[Costo Unit.]]</f>
        <v>1800</v>
      </c>
      <c r="G42" s="49">
        <f>C42-SUMIF(Ventas!D:D,"COPETITO",Ventas!F:F)</f>
        <v>11</v>
      </c>
    </row>
    <row r="43" spans="1:7" x14ac:dyDescent="0.25">
      <c r="A43" s="58" t="str">
        <f>+InventarioTbl3[#This Row]</f>
        <v>CORTADERIA SELLOANA</v>
      </c>
      <c r="B43" s="49">
        <f>+COMPRAS!B43:B146</f>
        <v>0</v>
      </c>
      <c r="C43" s="49">
        <f>+InventarioTbl3[[#This Row],[Cantidad]]</f>
        <v>8</v>
      </c>
      <c r="D43" s="70">
        <f>+InventarioTbl3[[#This Row],[Costo Unit.]]</f>
        <v>3500</v>
      </c>
      <c r="E43" s="70">
        <v>9000</v>
      </c>
      <c r="F43" s="70">
        <f>+E43-InventarioTbl34[[#This Row],[Costo Unit.]]</f>
        <v>5500</v>
      </c>
      <c r="G43" s="49">
        <f>C43-SUMIF(Ventas!D:D,"CORTADERIA",Ventas!F:F)</f>
        <v>6</v>
      </c>
    </row>
    <row r="44" spans="1:7" x14ac:dyDescent="0.25">
      <c r="A44" s="58" t="s">
        <v>211</v>
      </c>
      <c r="B44" s="49">
        <f>+COMPRAS!B44:B146</f>
        <v>3</v>
      </c>
      <c r="C44" s="49">
        <f>+InventarioTbl3[[#This Row],[Cantidad]]</f>
        <v>50</v>
      </c>
      <c r="D44" s="70">
        <f>+InventarioTbl3[[#This Row],[Costo Unit.]]</f>
        <v>2500</v>
      </c>
      <c r="E44" s="70">
        <v>15000</v>
      </c>
      <c r="F44" s="70">
        <f>+E44-InventarioTbl34[[#This Row],[Costo Unit.]]</f>
        <v>12500</v>
      </c>
      <c r="G44" s="49">
        <f>C44-SUMIF(Ventas!D:D,"COLOCACIA ESCULENTA",Ventas!F:F)</f>
        <v>35</v>
      </c>
    </row>
    <row r="45" spans="1:7" x14ac:dyDescent="0.25">
      <c r="A45" s="42" t="s">
        <v>244</v>
      </c>
      <c r="B45" s="49">
        <f>+COMPRAS!B45:B147</f>
        <v>7</v>
      </c>
      <c r="C45" s="49">
        <f>+InventarioTbl3[[#This Row],[Cantidad]]</f>
        <v>6</v>
      </c>
      <c r="D45" s="70">
        <f>+InventarioTbl3[[#This Row],[Costo Unit.]]</f>
        <v>18000</v>
      </c>
      <c r="E45" s="70">
        <v>28000</v>
      </c>
      <c r="F45" s="70">
        <f>+E45-InventarioTbl34[[#This Row],[Costo Unit.]]</f>
        <v>10000</v>
      </c>
      <c r="G45" s="49">
        <f>C45-SUMIF(Ventas!D:D,"CUARESMERO",Ventas!F:F)</f>
        <v>5</v>
      </c>
    </row>
    <row r="46" spans="1:7" x14ac:dyDescent="0.25">
      <c r="A46" s="59" t="s">
        <v>245</v>
      </c>
      <c r="B46" s="49">
        <f>+COMPRAS!B46:B148</f>
        <v>5</v>
      </c>
      <c r="C46" s="49">
        <f>+InventarioTbl3[[#This Row],[Cantidad]]</f>
        <v>5</v>
      </c>
      <c r="D46" s="70">
        <f>+InventarioTbl3[[#This Row],[Costo Unit.]]</f>
        <v>12000</v>
      </c>
      <c r="E46" s="70">
        <v>28000</v>
      </c>
      <c r="F46" s="70">
        <f>+E46-InventarioTbl34[[#This Row],[Costo Unit.]]</f>
        <v>16000</v>
      </c>
      <c r="G46" s="49">
        <f>C46-SUMIF(Ventas!D:D,"CUARESMERO 5L",Ventas!F:F)</f>
        <v>5</v>
      </c>
    </row>
    <row r="47" spans="1:7" s="33" customFormat="1" x14ac:dyDescent="0.25">
      <c r="A47" s="59" t="str">
        <f>+InventarioTbl3[[#This Row],[ESPECIE]]</f>
        <v>DIANELA</v>
      </c>
      <c r="B47" s="49">
        <f>+COMPRAS!B47:B149</f>
        <v>0</v>
      </c>
      <c r="C47" s="49">
        <f>+InventarioTbl3[[#This Row],[Cantidad]]</f>
        <v>31</v>
      </c>
      <c r="D47" s="70">
        <f>+InventarioTbl3[[#This Row],[Costo Unit.]]</f>
        <v>3000</v>
      </c>
      <c r="E47" s="70">
        <v>6000</v>
      </c>
      <c r="F47" s="70">
        <f>+E47-InventarioTbl34[[#This Row],[Costo Unit.]]</f>
        <v>3000</v>
      </c>
      <c r="G47" s="49">
        <f>C47-SUMIF(Ventas!D:D,"DIANELA",Ventas!F:F)</f>
        <v>24</v>
      </c>
    </row>
    <row r="48" spans="1:7" x14ac:dyDescent="0.25">
      <c r="A48" s="42" t="s">
        <v>109</v>
      </c>
      <c r="B48" s="49">
        <f>+COMPRAS!B48:B149</f>
        <v>3</v>
      </c>
      <c r="C48" s="49">
        <f>+InventarioTbl3[[#This Row],[Cantidad]]</f>
        <v>5</v>
      </c>
      <c r="D48" s="70">
        <f>+InventarioTbl3[[#This Row],[Costo Unit.]]</f>
        <v>8100</v>
      </c>
      <c r="E48" s="70">
        <v>15000</v>
      </c>
      <c r="F48" s="70">
        <f>+E48-InventarioTbl34[[#This Row],[Costo Unit.]]</f>
        <v>6900</v>
      </c>
      <c r="G48" s="49">
        <f>C48-SUMIF(Ventas!D:D,"DIEFFENBACHIA MARIANA",Ventas!F:F)</f>
        <v>4</v>
      </c>
    </row>
    <row r="49" spans="1:7" x14ac:dyDescent="0.25">
      <c r="A49" s="42" t="s">
        <v>254</v>
      </c>
      <c r="B49" s="49">
        <f>+COMPRAS!B49:B150</f>
        <v>5</v>
      </c>
      <c r="C49" s="49">
        <f>+InventarioTbl3[[#This Row],[Cantidad]]</f>
        <v>120</v>
      </c>
      <c r="D49" s="70">
        <f>+InventarioTbl3[[#This Row],[Costo Unit.]]</f>
        <v>2600</v>
      </c>
      <c r="E49" s="70">
        <v>6600</v>
      </c>
      <c r="F49" s="70">
        <f>+E49-InventarioTbl34[[#This Row],[Costo Unit.]]</f>
        <v>4000</v>
      </c>
      <c r="G49" s="49">
        <f>C49-SUMIF(Ventas!D:D,"DIETE",Ventas!F:F)</f>
        <v>65</v>
      </c>
    </row>
    <row r="50" spans="1:7" x14ac:dyDescent="0.25">
      <c r="A50" s="59" t="str">
        <f>+InventarioTbl3[[#This Row],[ESPECIE]]</f>
        <v>DIMORFOTECA (MARGARITA DEL CABO)</v>
      </c>
      <c r="B50" s="49">
        <f>+COMPRAS!B50:B151</f>
        <v>0</v>
      </c>
      <c r="C50" s="49">
        <f>+InventarioTbl3[[#This Row],[Cantidad]]</f>
        <v>10</v>
      </c>
      <c r="D50" s="70">
        <f>+InventarioTbl3[[#This Row],[Costo Unit.]]</f>
        <v>2000</v>
      </c>
      <c r="E50" s="70">
        <v>2500</v>
      </c>
      <c r="F50" s="70">
        <f>+E50-InventarioTbl34[[#This Row],[Costo Unit.]]</f>
        <v>500</v>
      </c>
      <c r="G50" s="49">
        <f>C50-SUMIF(Ventas!D:D,"DIMORFOTECA",Ventas!F:F)</f>
        <v>5</v>
      </c>
    </row>
    <row r="51" spans="1:7" x14ac:dyDescent="0.25">
      <c r="A51" s="41" t="s">
        <v>233</v>
      </c>
      <c r="B51" s="49" t="str">
        <f>+COMPRAS!B51:B151</f>
        <v>3/10L</v>
      </c>
      <c r="C51" s="49">
        <f>+InventarioTbl3[[#This Row],[Cantidad]]</f>
        <v>10</v>
      </c>
      <c r="D51" s="70">
        <f>+InventarioTbl3[[#This Row],[Costo Unit.]]</f>
        <v>0</v>
      </c>
      <c r="E51" s="70">
        <v>20000</v>
      </c>
      <c r="F51" s="70">
        <f>+E51-InventarioTbl34[[#This Row],[Costo Unit.]]</f>
        <v>20000</v>
      </c>
      <c r="G51" s="49">
        <f>C51-SUMIF(Ventas!D:D,"DRACENA RUBRA",Ventas!F:F)</f>
        <v>9</v>
      </c>
    </row>
    <row r="52" spans="1:7" x14ac:dyDescent="0.25">
      <c r="A52" s="42" t="s">
        <v>50</v>
      </c>
      <c r="B52" s="49">
        <f>+COMPRAS!B52:B152</f>
        <v>0</v>
      </c>
      <c r="C52" s="49">
        <f>+InventarioTbl3[[#This Row],[Cantidad]]</f>
        <v>2</v>
      </c>
      <c r="D52" s="70">
        <f>+InventarioTbl3[[#This Row],[Costo Unit.]]</f>
        <v>3500</v>
      </c>
      <c r="E52" s="70">
        <v>8500</v>
      </c>
      <c r="F52" s="70">
        <f>+E52-InventarioTbl34[[#This Row],[Costo Unit.]]</f>
        <v>5000</v>
      </c>
      <c r="G52" s="49">
        <f>C52-SUMIF(Ventas!D:D,"DRACENA TRICOLOR",Ventas!F:F)</f>
        <v>2</v>
      </c>
    </row>
    <row r="53" spans="1:7" x14ac:dyDescent="0.25">
      <c r="A53" s="42" t="s">
        <v>203</v>
      </c>
      <c r="B53" s="49">
        <f>+COMPRAS!B53:B153</f>
        <v>0.7</v>
      </c>
      <c r="C53" s="49">
        <f>+InventarioTbl3[[#This Row],[Cantidad]]</f>
        <v>6</v>
      </c>
      <c r="D53" s="70">
        <f>+InventarioTbl3[[#This Row],[Costo Unit.]]</f>
        <v>6000</v>
      </c>
      <c r="E53" s="70">
        <v>9000</v>
      </c>
      <c r="F53" s="70">
        <f>+E53-InventarioTbl34[[#This Row],[Costo Unit.]]</f>
        <v>3000</v>
      </c>
      <c r="G53" s="49">
        <f>C53-SUMIF(Ventas!D:D,"DRACENA LEMON",Ventas!F:F)</f>
        <v>-1</v>
      </c>
    </row>
    <row r="54" spans="1:7" s="33" customFormat="1" x14ac:dyDescent="0.25">
      <c r="A54" s="59" t="s">
        <v>204</v>
      </c>
      <c r="B54" s="49">
        <f>+COMPRAS!B54:B154</f>
        <v>0.7</v>
      </c>
      <c r="C54" s="49">
        <f>+InventarioTbl3[[#This Row],[Cantidad]]</f>
        <v>14</v>
      </c>
      <c r="D54" s="70">
        <f>+InventarioTbl3[[#This Row],[Costo Unit.]]</f>
        <v>6200</v>
      </c>
      <c r="E54" s="70">
        <v>12000</v>
      </c>
      <c r="F54" s="70">
        <f>+E54-InventarioTbl34[[#This Row],[Costo Unit.]]</f>
        <v>5800</v>
      </c>
      <c r="G54" s="49">
        <f>C54-SUMIF(Ventas!D:D,"DRACENA WARNECKI",Ventas!F:F)</f>
        <v>8</v>
      </c>
    </row>
    <row r="55" spans="1:7" x14ac:dyDescent="0.25">
      <c r="A55" s="59" t="str">
        <f>+InventarioTbl3[[#This Row],[ESPECIE]]</f>
        <v>DRACENA KIWI</v>
      </c>
      <c r="B55" s="49">
        <f>+COMPRAS!B55:B155</f>
        <v>3</v>
      </c>
      <c r="C55" s="49">
        <f>+InventarioTbl3[[#This Row],[Cantidad]]</f>
        <v>5</v>
      </c>
      <c r="D55" s="70">
        <f>+InventarioTbl3[[#This Row],[Costo Unit.]]</f>
        <v>6500</v>
      </c>
      <c r="E55" s="70">
        <v>15000</v>
      </c>
      <c r="F55" s="70">
        <f>+E55-InventarioTbl34[[#This Row],[Costo Unit.]]</f>
        <v>8500</v>
      </c>
      <c r="G55" s="49">
        <f>C55-SUMIF(Ventas!D:D,"DRACENA KIWI",Ventas!F:F)</f>
        <v>4</v>
      </c>
    </row>
    <row r="56" spans="1:7" x14ac:dyDescent="0.25">
      <c r="A56" s="59" t="str">
        <f>+InventarioTbl3[[#This Row],[ESPECIE]]</f>
        <v>DRACENA BABY</v>
      </c>
      <c r="B56" s="49">
        <f>+COMPRAS!B56:B156</f>
        <v>3</v>
      </c>
      <c r="C56" s="49">
        <f>+InventarioTbl3[[#This Row],[Cantidad]]</f>
        <v>5</v>
      </c>
      <c r="D56" s="70">
        <f>+InventarioTbl3[[#This Row],[Costo Unit.]]</f>
        <v>6500</v>
      </c>
      <c r="E56" s="70">
        <v>14000</v>
      </c>
      <c r="F56" s="70">
        <f>+E56-InventarioTbl34[[#This Row],[Costo Unit.]]</f>
        <v>7500</v>
      </c>
      <c r="G56" s="49">
        <f>C56-SUMIF(Ventas!D:D,"DRACENA BABY",Ventas!F:F)</f>
        <v>2</v>
      </c>
    </row>
    <row r="57" spans="1:7" x14ac:dyDescent="0.25">
      <c r="A57" s="59" t="str">
        <f>+InventarioTbl3[[#This Row],[ESPECIE]]</f>
        <v>ESCUDO PERSA</v>
      </c>
      <c r="B57" s="49">
        <f>+COMPRAS!B57:B157</f>
        <v>0</v>
      </c>
      <c r="C57" s="49">
        <f>+InventarioTbl3[[#This Row],[Cantidad]]</f>
        <v>3</v>
      </c>
      <c r="D57" s="70">
        <f>+InventarioTbl3[[#This Row],[Costo Unit.]]</f>
        <v>2500</v>
      </c>
      <c r="E57" s="70">
        <v>3000</v>
      </c>
      <c r="F57" s="70">
        <f>+E57-InventarioTbl34[[#This Row],[Costo Unit.]]</f>
        <v>500</v>
      </c>
      <c r="G57" s="49">
        <f>C57-SUMIF(Ventas!D:D,"ESCUDO PERSA",Ventas!F:F)</f>
        <v>1</v>
      </c>
    </row>
    <row r="58" spans="1:7" x14ac:dyDescent="0.25">
      <c r="A58" s="59" t="s">
        <v>212</v>
      </c>
      <c r="B58" s="49" t="str">
        <f>+COMPRAS!B58:B155</f>
        <v>3/5L</v>
      </c>
      <c r="C58" s="49">
        <f>+InventarioTbl3[[#This Row],[Cantidad]]</f>
        <v>23</v>
      </c>
      <c r="D58" s="70">
        <f>+InventarioTbl3[[#This Row],[Costo Unit.]]</f>
        <v>0</v>
      </c>
      <c r="E58" s="70">
        <v>18000</v>
      </c>
      <c r="F58" s="70">
        <f>+E58-InventarioTbl34[[#This Row],[Costo Unit.]]</f>
        <v>18000</v>
      </c>
      <c r="G58" s="49">
        <f>C58-SUMIF(Ventas!D:D,"ESPATIFILO",Ventas!F:F)</f>
        <v>21</v>
      </c>
    </row>
    <row r="59" spans="1:7" x14ac:dyDescent="0.25">
      <c r="A59" s="59" t="s">
        <v>213</v>
      </c>
      <c r="B59" s="49">
        <f>+COMPRAS!B59:B156</f>
        <v>10</v>
      </c>
      <c r="C59" s="49">
        <f>+InventarioTbl3[[#This Row],[Cantidad]]</f>
        <v>1</v>
      </c>
      <c r="D59" s="70">
        <f>+InventarioTbl3[[#This Row],[Costo Unit.]]</f>
        <v>0</v>
      </c>
      <c r="E59" s="70">
        <v>100000</v>
      </c>
      <c r="F59" s="70">
        <f>+E59-InventarioTbl34[[#This Row],[Costo Unit.]]</f>
        <v>100000</v>
      </c>
      <c r="G59" s="49">
        <f>C59-SUMIF(Ventas!D:D,"ESPATIFILO SENSACION",Ventas!F:F)</f>
        <v>1</v>
      </c>
    </row>
    <row r="60" spans="1:7" x14ac:dyDescent="0.25">
      <c r="A60" s="59" t="str">
        <f>+InventarioTbl3[[#This Row],[ESPECIE]]</f>
        <v>FITONIA</v>
      </c>
      <c r="B60" s="49" t="str">
        <f>+COMPRAS!B60:B157</f>
        <v>M18</v>
      </c>
      <c r="C60" s="49">
        <f>+InventarioTbl3[[#This Row],[Cantidad]]</f>
        <v>3</v>
      </c>
      <c r="D60" s="70">
        <f>+InventarioTbl3[[#This Row],[Costo Unit.]]</f>
        <v>2400</v>
      </c>
      <c r="E60" s="70">
        <v>4800</v>
      </c>
      <c r="F60" s="70">
        <f>+E60-InventarioTbl34[[#This Row],[Costo Unit.]]</f>
        <v>2400</v>
      </c>
      <c r="G60" s="49">
        <f>C60-SUMIF(Ventas!D:D,"FITONIA",Ventas!F:F)</f>
        <v>2</v>
      </c>
    </row>
    <row r="61" spans="1:7" x14ac:dyDescent="0.25">
      <c r="A61" s="59" t="s">
        <v>221</v>
      </c>
      <c r="B61" s="49">
        <f>+COMPRAS!B61:B157</f>
        <v>3</v>
      </c>
      <c r="C61" s="49">
        <f>+InventarioTbl3[[#This Row],[Cantidad]]</f>
        <v>1</v>
      </c>
      <c r="D61" s="70">
        <f>+InventarioTbl3[[#This Row],[Costo Unit.]]</f>
        <v>0</v>
      </c>
      <c r="E61" s="70">
        <v>20000</v>
      </c>
      <c r="F61" s="70">
        <f>+E61-InventarioTbl34[[#This Row],[Costo Unit.]]</f>
        <v>20000</v>
      </c>
      <c r="G61" s="49">
        <f>C61-SUMIF(Ventas!D:D,"DORSTENIA",Ventas!F:F)</f>
        <v>0</v>
      </c>
    </row>
    <row r="62" spans="1:7" x14ac:dyDescent="0.25">
      <c r="A62" s="59" t="str">
        <f>+InventarioTbl3[[#This Row],[ESPECIE]]</f>
        <v xml:space="preserve">FLORALES </v>
      </c>
      <c r="B62" s="49">
        <f>+COMPRAS!B62:B158</f>
        <v>0</v>
      </c>
      <c r="C62" s="49">
        <f>+InventarioTbl3[[#This Row],[Cantidad]]</f>
        <v>120</v>
      </c>
      <c r="D62" s="70">
        <f>+InventarioTbl3[[#This Row],[Costo Unit.]]</f>
        <v>700</v>
      </c>
      <c r="E62" s="70">
        <v>1500</v>
      </c>
      <c r="F62" s="70">
        <f>+E62-InventarioTbl34[[#This Row],[Costo Unit.]]</f>
        <v>800</v>
      </c>
      <c r="G62" s="49">
        <f>C62-SUMIF(Ventas!D:D,"FLORALES",Ventas!F:F)</f>
        <v>28</v>
      </c>
    </row>
    <row r="63" spans="1:7" x14ac:dyDescent="0.25">
      <c r="A63" s="59" t="str">
        <f>+COMPRAS!A63</f>
        <v>GAURA</v>
      </c>
      <c r="B63" s="49" t="s">
        <v>441</v>
      </c>
      <c r="C63" s="49">
        <f>+InventarioTbl3[[#This Row],[Cantidad]]</f>
        <v>98</v>
      </c>
      <c r="D63" s="70">
        <f>+InventarioTbl3[[#This Row],[Costo Unit.]]</f>
        <v>3000</v>
      </c>
      <c r="E63" s="70">
        <v>8000</v>
      </c>
      <c r="F63" s="70">
        <f>+E63-InventarioTbl34[[#This Row],[Costo Unit.]]</f>
        <v>5000</v>
      </c>
      <c r="G63" s="49">
        <f>C63-SUMIF(Ventas!D:D,"GAURA",Ventas!F:F)</f>
        <v>31</v>
      </c>
    </row>
    <row r="64" spans="1:7" x14ac:dyDescent="0.25">
      <c r="A64" s="59" t="str">
        <f>+InventarioTbl3[[#This Row],[ESPECIE]]</f>
        <v>GIRASOL</v>
      </c>
      <c r="B64" s="49" t="s">
        <v>442</v>
      </c>
      <c r="C64" s="49">
        <f>+InventarioTbl3[[#This Row],[Cantidad]]</f>
        <v>18</v>
      </c>
      <c r="D64" s="70">
        <f>+InventarioTbl3[[#This Row],[Costo Unit.]]</f>
        <v>2000</v>
      </c>
      <c r="E64" s="70">
        <v>4500</v>
      </c>
      <c r="F64" s="70">
        <f>+E64-InventarioTbl34[[#This Row],[Costo Unit.]]</f>
        <v>2500</v>
      </c>
      <c r="G64" s="49">
        <f>C64-SUMIF(Ventas!D:D,"GIRASOL",Ventas!F:F)</f>
        <v>10</v>
      </c>
    </row>
    <row r="65" spans="1:7" x14ac:dyDescent="0.25">
      <c r="A65" s="59" t="str">
        <f>+InventarioTbl3[[#This Row],[ESPECIE]]</f>
        <v>HELECHO MONO</v>
      </c>
      <c r="B65" s="49">
        <f>+COMPRAS!B65:B159</f>
        <v>0</v>
      </c>
      <c r="C65" s="49">
        <f>+InventarioTbl3[[#This Row],[Cantidad]]</f>
        <v>7</v>
      </c>
      <c r="D65" s="70">
        <f>+InventarioTbl3[[#This Row],[Costo Unit.]]</f>
        <v>3000</v>
      </c>
      <c r="E65" s="70">
        <v>6500</v>
      </c>
      <c r="F65" s="70">
        <f>+E65-InventarioTbl34[[#This Row],[Costo Unit.]]</f>
        <v>3500</v>
      </c>
      <c r="G65" s="49">
        <f>C65-SUMIF(Ventas!D:D,"HELECHO MONO",Ventas!F:F)</f>
        <v>6</v>
      </c>
    </row>
    <row r="66" spans="1:7" x14ac:dyDescent="0.25">
      <c r="A66" s="59" t="str">
        <f>+InventarioTbl3[[#This Row],[ESPECIE]]</f>
        <v>HELECHO PIEDRA</v>
      </c>
      <c r="B66" s="49">
        <f>+COMPRAS!B66:B167</f>
        <v>0</v>
      </c>
      <c r="C66" s="49">
        <f>+InventarioTbl3[[#This Row],[Cantidad]]</f>
        <v>6</v>
      </c>
      <c r="D66" s="70">
        <f>+InventarioTbl3[[#This Row],[Costo Unit.]]</f>
        <v>3000</v>
      </c>
      <c r="E66" s="70">
        <v>6500</v>
      </c>
      <c r="F66" s="70">
        <f>+E66-InventarioTbl34[[#This Row],[Costo Unit.]]</f>
        <v>3500</v>
      </c>
      <c r="G66" s="49">
        <f>C66-SUMIF(Ventas!D:D,"HELECHO PIEDRA",Ventas!F:F)</f>
        <v>2</v>
      </c>
    </row>
    <row r="67" spans="1:7" x14ac:dyDescent="0.25">
      <c r="A67" s="59" t="s">
        <v>125</v>
      </c>
      <c r="B67" s="49">
        <f>+COMPRAS!B67:B158</f>
        <v>2</v>
      </c>
      <c r="C67" s="49">
        <f>+InventarioTbl3[[#This Row],[Cantidad]]</f>
        <v>8</v>
      </c>
      <c r="D67" s="70">
        <f>+InventarioTbl3[[#This Row],[Costo Unit.]]</f>
        <v>0</v>
      </c>
      <c r="E67" s="70">
        <v>10000</v>
      </c>
      <c r="F67" s="70">
        <f>+E67-InventarioTbl34[[#This Row],[Costo Unit.]]</f>
        <v>10000</v>
      </c>
      <c r="G67" s="49">
        <f>C67-SUMIF(Ventas!D:D,"HELECHO ESPARRAGO",Ventas!F:F)</f>
        <v>7</v>
      </c>
    </row>
    <row r="68" spans="1:7" x14ac:dyDescent="0.25">
      <c r="A68" s="59" t="str">
        <f>+InventarioTbl3[[#This Row],[ESPECIE]]</f>
        <v>HELICONIA CHICA</v>
      </c>
      <c r="B68" s="49">
        <f>+COMPRAS!B68:B159</f>
        <v>0</v>
      </c>
      <c r="C68" s="49">
        <f>+InventarioTbl3[[#This Row],[Cantidad]]</f>
        <v>10</v>
      </c>
      <c r="D68" s="70">
        <f>+InventarioTbl3[[#This Row],[Costo Unit.]]</f>
        <v>4800</v>
      </c>
      <c r="E68" s="70">
        <v>18000</v>
      </c>
      <c r="F68" s="70">
        <f>+E68-InventarioTbl34[[#This Row],[Costo Unit.]]</f>
        <v>13200</v>
      </c>
      <c r="G68" s="49">
        <f>C68-SUMIF(Ventas!D:D,"HELICONIA CHICA",Ventas!F:F)</f>
        <v>10</v>
      </c>
    </row>
    <row r="69" spans="1:7" x14ac:dyDescent="0.25">
      <c r="A69" s="59" t="str">
        <f>+InventarioTbl3[[#This Row],[ESPECIE]]</f>
        <v>HELICONIA GRANDE</v>
      </c>
      <c r="B69" s="49">
        <f>+COMPRAS!B69:B160</f>
        <v>0</v>
      </c>
      <c r="C69" s="49">
        <f>+InventarioTbl3[[#This Row],[Cantidad]]</f>
        <v>4</v>
      </c>
      <c r="D69" s="70">
        <f>+InventarioTbl3[[#This Row],[Costo Unit.]]</f>
        <v>12000</v>
      </c>
      <c r="E69" s="70">
        <v>35000</v>
      </c>
      <c r="F69" s="70">
        <f>+E69-InventarioTbl34[[#This Row],[Costo Unit.]]</f>
        <v>23000</v>
      </c>
      <c r="G69" s="49">
        <f>C69-SUMIF(Ventas!D:D,"HELICONIA GRANDE",Ventas!F:F)</f>
        <v>4</v>
      </c>
    </row>
    <row r="70" spans="1:7" x14ac:dyDescent="0.25">
      <c r="A70" s="59" t="str">
        <f>+InventarioTbl3[[#This Row],[ESPECIE]]</f>
        <v>HIPOESTES</v>
      </c>
      <c r="B70" s="49"/>
      <c r="C70" s="49">
        <f>+InventarioTbl3[[#This Row],[Cantidad]]</f>
        <v>60</v>
      </c>
      <c r="D70" s="70">
        <f>+InventarioTbl3[[#This Row],[Costo Unit.]]</f>
        <v>770</v>
      </c>
      <c r="E70" s="70">
        <v>2500</v>
      </c>
      <c r="F70" s="70">
        <f>+E70-InventarioTbl34[[#This Row],[Costo Unit.]]</f>
        <v>1730</v>
      </c>
      <c r="G70" s="49">
        <f>C70-SUMIF(Ventas!D:D,"HIPOESTES",Ventas!F:F)</f>
        <v>48</v>
      </c>
    </row>
    <row r="71" spans="1:7" x14ac:dyDescent="0.25">
      <c r="A71" s="59" t="s">
        <v>227</v>
      </c>
      <c r="B71" s="49">
        <f>+COMPRAS!B71:B158</f>
        <v>3</v>
      </c>
      <c r="C71" s="49">
        <f>+InventarioTbl3[[#This Row],[Cantidad]]</f>
        <v>11</v>
      </c>
      <c r="D71" s="70">
        <f>+InventarioTbl3[[#This Row],[Costo Unit.]]</f>
        <v>0</v>
      </c>
      <c r="E71" s="70">
        <v>7000</v>
      </c>
      <c r="F71" s="70">
        <f>+E71-InventarioTbl34[[#This Row],[Costo Unit.]]</f>
        <v>7000</v>
      </c>
      <c r="G71" s="49">
        <f>C71-SUMIF(Ventas!D:D,"LAZO DE AMOR",Ventas!F:F)</f>
        <v>7</v>
      </c>
    </row>
    <row r="72" spans="1:7" x14ac:dyDescent="0.25">
      <c r="A72" s="59" t="str">
        <f>+InventarioTbl3[[#This Row],[ESPECIE]]</f>
        <v>LILIUM</v>
      </c>
      <c r="B72" s="49">
        <f>+COMPRAS!B72:B159</f>
        <v>0</v>
      </c>
      <c r="C72" s="49">
        <f>+InventarioTbl3[[#This Row],[Cantidad]]</f>
        <v>6</v>
      </c>
      <c r="D72" s="70">
        <f>+InventarioTbl3[[#This Row],[Costo Unit.]]</f>
        <v>5500</v>
      </c>
      <c r="E72" s="70">
        <v>10000</v>
      </c>
      <c r="F72" s="70">
        <f>+E72-InventarioTbl34[[#This Row],[Costo Unit.]]</f>
        <v>4500</v>
      </c>
      <c r="G72" s="49">
        <f>C72-SUMIF(Ventas!D:D,"LILIUM",Ventas!F:F)</f>
        <v>6</v>
      </c>
    </row>
    <row r="73" spans="1:7" x14ac:dyDescent="0.25">
      <c r="A73" s="59" t="s">
        <v>119</v>
      </c>
      <c r="B73" s="49" t="str">
        <f>+COMPRAS!B73:B159</f>
        <v>3/5L</v>
      </c>
      <c r="C73" s="49">
        <f>+InventarioTbl3[[#This Row],[Cantidad]]</f>
        <v>23</v>
      </c>
      <c r="D73" s="70">
        <f>+InventarioTbl3[[#This Row],[Costo Unit.]]</f>
        <v>0</v>
      </c>
      <c r="E73" s="70">
        <v>8000</v>
      </c>
      <c r="F73" s="70">
        <f>+E73-InventarioTbl34[[#This Row],[Costo Unit.]]</f>
        <v>8000</v>
      </c>
      <c r="G73" s="49">
        <f>C73-SUMIF(Ventas!D:D,"LIRIO DEL AMAZONAS",Ventas!F:F)</f>
        <v>21</v>
      </c>
    </row>
    <row r="74" spans="1:7" x14ac:dyDescent="0.25">
      <c r="A74" s="59" t="str">
        <f>+InventarioTbl3[[#This Row],[ESPECIE]]</f>
        <v>LIRIO MATIZADO</v>
      </c>
      <c r="B74" s="49">
        <f>+COMPRAS!B74:B160</f>
        <v>0</v>
      </c>
      <c r="C74" s="49">
        <f>+InventarioTbl3[[#This Row],[Cantidad]]</f>
        <v>3</v>
      </c>
      <c r="D74" s="70">
        <f>+InventarioTbl3[[#This Row],[Costo Unit.]]</f>
        <v>4000</v>
      </c>
      <c r="E74" s="70">
        <v>10000</v>
      </c>
      <c r="F74" s="70">
        <f>+E74-InventarioTbl34[[#This Row],[Costo Unit.]]</f>
        <v>6000</v>
      </c>
      <c r="G74" s="49">
        <f>C74-SUMIF(Ventas!D:D,"LIRIO MATIZADO",Ventas!F:F)</f>
        <v>3</v>
      </c>
    </row>
    <row r="75" spans="1:7" x14ac:dyDescent="0.25">
      <c r="A75" s="59" t="str">
        <f>+InventarioTbl3[[#This Row],[ESPECIE]]</f>
        <v>LOBELIA</v>
      </c>
      <c r="B75" s="49">
        <f>+COMPRAS!B75:B160</f>
        <v>0</v>
      </c>
      <c r="C75" s="49">
        <f>+InventarioTbl3[[#This Row],[Cantidad]]</f>
        <v>60</v>
      </c>
      <c r="D75" s="70">
        <f>+InventarioTbl3[[#This Row],[Costo Unit.]]</f>
        <v>700</v>
      </c>
      <c r="E75" s="70">
        <v>3500</v>
      </c>
      <c r="F75" s="70">
        <f>+E75-InventarioTbl34[[#This Row],[Costo Unit.]]</f>
        <v>2800</v>
      </c>
      <c r="G75" s="49">
        <f>C75-SUMIF(Ventas!D:D,"LOBELIA",Ventas!F:F)</f>
        <v>58</v>
      </c>
    </row>
    <row r="76" spans="1:7" x14ac:dyDescent="0.25">
      <c r="A76" s="59" t="s">
        <v>215</v>
      </c>
      <c r="B76" s="49" t="str">
        <f>+COMPRAS!B76:B164</f>
        <v>3/5L</v>
      </c>
      <c r="C76" s="49">
        <f>+InventarioTbl3[[#This Row],[Cantidad]]</f>
        <v>19</v>
      </c>
      <c r="D76" s="70">
        <f>+InventarioTbl3[[#This Row],[Costo Unit.]]</f>
        <v>4000</v>
      </c>
      <c r="E76" s="70">
        <v>15000</v>
      </c>
      <c r="F76" s="70">
        <f>+E76-InventarioTbl34[[#This Row],[Costo Unit.]]</f>
        <v>11000</v>
      </c>
      <c r="G76" s="49">
        <f>C76-SUMIF(Ventas!D:D,"MARANTA",Ventas!F:F)</f>
        <v>17</v>
      </c>
    </row>
    <row r="77" spans="1:7" x14ac:dyDescent="0.25">
      <c r="A77" s="59" t="s">
        <v>216</v>
      </c>
      <c r="B77" s="49">
        <f>+COMPRAS!B77:B168</f>
        <v>0.5</v>
      </c>
      <c r="C77" s="49">
        <f>+InventarioTbl3[[#This Row],[Cantidad]]</f>
        <v>15</v>
      </c>
      <c r="D77" s="70">
        <f>+InventarioTbl3[[#This Row],[Costo Unit.]]</f>
        <v>3100</v>
      </c>
      <c r="E77" s="70">
        <v>6000</v>
      </c>
      <c r="F77" s="70">
        <f>+E77-InventarioTbl34[[#This Row],[Costo Unit.]]</f>
        <v>2900</v>
      </c>
      <c r="G77" s="49">
        <f>C77-SUMIF(Ventas!D:D,"MARANTA ORACION",Ventas!F:F)</f>
        <v>12</v>
      </c>
    </row>
    <row r="78" spans="1:7" x14ac:dyDescent="0.25">
      <c r="A78" s="59" t="s">
        <v>361</v>
      </c>
      <c r="B78" s="49">
        <f>+COMPRAS!B78:B170</f>
        <v>0</v>
      </c>
      <c r="C78" s="49">
        <f>+InventarioTbl3[[#This Row],[Cantidad]]</f>
        <v>7</v>
      </c>
      <c r="D78" s="70">
        <f>+InventarioTbl3[[#This Row],[Costo Unit.]]</f>
        <v>1500</v>
      </c>
      <c r="E78" s="70">
        <v>3000</v>
      </c>
      <c r="F78" s="70">
        <f>+E78-InventarioTbl34[[#This Row],[Costo Unit.]]</f>
        <v>1500</v>
      </c>
      <c r="G78" s="49">
        <f>C78-SUMIF(Ventas!D:D,"MARGARITA",Ventas!F:F)</f>
        <v>4</v>
      </c>
    </row>
    <row r="79" spans="1:7" x14ac:dyDescent="0.25">
      <c r="A79" s="59" t="str">
        <f>+InventarioTbl3[[#This Row],[ESPECIE]]</f>
        <v>MELINI</v>
      </c>
      <c r="B79" s="49"/>
      <c r="C79" s="49">
        <f>+InventarioTbl3[[#This Row],[Cantidad]]</f>
        <v>18</v>
      </c>
      <c r="D79" s="70">
        <f>+InventarioTbl3[[#This Row],[Costo Unit.]]</f>
        <v>2500</v>
      </c>
      <c r="E79" s="70">
        <v>6500</v>
      </c>
      <c r="F79" s="70">
        <f>+E79-InventarioTbl34[[#This Row],[Costo Unit.]]</f>
        <v>4000</v>
      </c>
      <c r="G79" s="49">
        <f>C79-SUMIF(Ventas!D:D,"MELINI",Ventas!F:F)</f>
        <v>18</v>
      </c>
    </row>
    <row r="80" spans="1:7" x14ac:dyDescent="0.25">
      <c r="A80" s="59" t="str">
        <f>+InventarioTbl3[[#This Row],[ESPECIE]]</f>
        <v>MONEDA VARIEGADA</v>
      </c>
      <c r="B80" s="49" t="s">
        <v>192</v>
      </c>
      <c r="C80" s="49">
        <f>+InventarioTbl3[[#This Row],[Cantidad]]</f>
        <v>3</v>
      </c>
      <c r="D80" s="70">
        <f>+InventarioTbl3[[#This Row],[Costo Unit.]]</f>
        <v>3800</v>
      </c>
      <c r="E80" s="70">
        <v>10000</v>
      </c>
      <c r="F80" s="70">
        <f>+E80-InventarioTbl34[[#This Row],[Costo Unit.]]</f>
        <v>6200</v>
      </c>
      <c r="G80" s="49">
        <f>C80-SUMIF(Ventas!D:D,"MONEDA VARIEGADA",Ventas!F:F)</f>
        <v>1</v>
      </c>
    </row>
    <row r="81" spans="1:7" x14ac:dyDescent="0.25">
      <c r="A81" s="59" t="str">
        <f>+InventarioTbl3[[#This Row],[ESPECIE]]</f>
        <v>MONSTERA</v>
      </c>
      <c r="B81" s="49">
        <f>+COMPRAS!B81:B171</f>
        <v>0</v>
      </c>
      <c r="C81" s="49">
        <f>+InventarioTbl3[[#This Row],[Cantidad]]</f>
        <v>22</v>
      </c>
      <c r="D81" s="70">
        <f>+InventarioTbl3[[#This Row],[Costo Unit.]]</f>
        <v>3500</v>
      </c>
      <c r="E81" s="70">
        <v>10000</v>
      </c>
      <c r="F81" s="70">
        <f>+E81-InventarioTbl34[[#This Row],[Costo Unit.]]</f>
        <v>6500</v>
      </c>
      <c r="G81" s="49">
        <f>C81-SUMIF(Ventas!D:D,"MONSTERA",Ventas!F:F)</f>
        <v>13</v>
      </c>
    </row>
    <row r="82" spans="1:7" x14ac:dyDescent="0.25">
      <c r="A82" s="59" t="str">
        <f>+InventarioTbl3[[#This Row],[ESPECIE]]</f>
        <v>MONSTERA GRANDE</v>
      </c>
      <c r="B82" s="49">
        <f>+COMPRAS!B82:B172</f>
        <v>0</v>
      </c>
      <c r="C82" s="49">
        <f>+InventarioTbl3[[#This Row],[Cantidad]]</f>
        <v>8</v>
      </c>
      <c r="D82" s="70">
        <f>+InventarioTbl3[[#This Row],[Costo Unit.]]</f>
        <v>8500</v>
      </c>
      <c r="E82" s="70">
        <v>35000</v>
      </c>
      <c r="F82" s="70">
        <f>+E82-InventarioTbl34[[#This Row],[Costo Unit.]]</f>
        <v>26500</v>
      </c>
      <c r="G82" s="49">
        <f>C82-SUMIF(Ventas!D:D,"MONSTERA GRANDE",Ventas!F:F)</f>
        <v>8</v>
      </c>
    </row>
    <row r="83" spans="1:7" x14ac:dyDescent="0.25">
      <c r="A83" s="59" t="s">
        <v>371</v>
      </c>
      <c r="B83" s="49">
        <f>+COMPRAS!B83:B172</f>
        <v>0</v>
      </c>
      <c r="C83" s="49">
        <f>+InventarioTbl3[[#This Row],[Cantidad]]</f>
        <v>2</v>
      </c>
      <c r="D83" s="70">
        <f>+InventarioTbl3[[#This Row],[Costo Unit.]]</f>
        <v>120000</v>
      </c>
      <c r="E83" s="70">
        <v>240000</v>
      </c>
      <c r="F83" s="70">
        <f>+E83-InventarioTbl34[[#This Row],[Costo Unit.]]</f>
        <v>120000</v>
      </c>
      <c r="G83" s="49">
        <f>C83-SUMIF(Ventas!D:D,"PALMA DEL VIAJERO",Ventas!F:F)</f>
        <v>2</v>
      </c>
    </row>
    <row r="84" spans="1:7" x14ac:dyDescent="0.25">
      <c r="A84" s="58" t="str">
        <f>+COMPRAS!A84</f>
        <v>PENACHO</v>
      </c>
      <c r="B84" s="49">
        <f>+COMPRAS!B84:B173</f>
        <v>0</v>
      </c>
      <c r="C84" s="49">
        <f>+InventarioTbl3[[#This Row],[Cantidad]]</f>
        <v>15</v>
      </c>
      <c r="D84" s="70">
        <f>+InventarioTbl3[[#This Row],[Costo Unit.]]</f>
        <v>700</v>
      </c>
      <c r="E84" s="70">
        <v>2000</v>
      </c>
      <c r="F84" s="70">
        <f>+E84-InventarioTbl34[[#This Row],[Costo Unit.]]</f>
        <v>1300</v>
      </c>
      <c r="G84" s="49">
        <f>C84-SUMIF(Ventas!D:D,"PENACHITO",Ventas!F:F)</f>
        <v>15</v>
      </c>
    </row>
    <row r="85" spans="1:7" x14ac:dyDescent="0.25">
      <c r="A85" s="58" t="str">
        <f>+COMPRAS!A85</f>
        <v>PENNICETUM</v>
      </c>
      <c r="B85" s="49">
        <f>+COMPRAS!B85:B173</f>
        <v>0</v>
      </c>
      <c r="C85" s="49">
        <f>+InventarioTbl3[[#This Row],[Cantidad]]</f>
        <v>50</v>
      </c>
      <c r="D85" s="70">
        <f>+InventarioTbl3[[#This Row],[Costo Unit.]]</f>
        <v>2500</v>
      </c>
      <c r="E85" s="70">
        <v>5000</v>
      </c>
      <c r="F85" s="70">
        <f>+E85-InventarioTbl34[[#This Row],[Costo Unit.]]</f>
        <v>2500</v>
      </c>
      <c r="G85" s="49">
        <f>C85-SUMIF(Ventas!D:D,"PENNICETUM",Ventas!F:F)</f>
        <v>40</v>
      </c>
    </row>
    <row r="86" spans="1:7" x14ac:dyDescent="0.25">
      <c r="A86" s="58" t="s">
        <v>246</v>
      </c>
      <c r="B86" s="49">
        <f>+COMPRAS!B86:B172</f>
        <v>0.5</v>
      </c>
      <c r="C86" s="49">
        <f>+InventarioTbl3[[#This Row],[Cantidad]]</f>
        <v>28</v>
      </c>
      <c r="D86" s="70">
        <f>+InventarioTbl3[[#This Row],[Costo Unit.]]</f>
        <v>770</v>
      </c>
      <c r="E86" s="70">
        <v>2000</v>
      </c>
      <c r="F86" s="70">
        <f>+E86-InventarioTbl34[[#This Row],[Costo Unit.]]</f>
        <v>1230</v>
      </c>
      <c r="G86" s="49">
        <f>C86-SUMIF(Ventas!D:D,"PENSAMIENTO",Ventas!F:F)</f>
        <v>26</v>
      </c>
    </row>
    <row r="87" spans="1:7" x14ac:dyDescent="0.25">
      <c r="A87" s="58" t="s">
        <v>621</v>
      </c>
      <c r="B87" s="49">
        <f>+COMPRAS!B87:B173</f>
        <v>0</v>
      </c>
      <c r="C87" s="49">
        <f>+InventarioTbl3[[#This Row],[Cantidad]]</f>
        <v>6</v>
      </c>
      <c r="D87" s="70">
        <f>+InventarioTbl3[[#This Row],[Costo Unit.]]</f>
        <v>2500</v>
      </c>
      <c r="E87" s="70">
        <v>5000</v>
      </c>
      <c r="F87" s="70">
        <f>+E87-InventarioTbl34[[#This Row],[Costo Unit.]]</f>
        <v>2500</v>
      </c>
      <c r="G87" s="49">
        <f>C87-SUMIF(Ventas!D:D,"PENTA",Ventas!F:F)</f>
        <v>2</v>
      </c>
    </row>
    <row r="88" spans="1:7" x14ac:dyDescent="0.25">
      <c r="A88" s="58" t="str">
        <f>+InventarioTbl3[[#This Row],[ESPECIE]]</f>
        <v>PETUNIA</v>
      </c>
      <c r="B88" s="49">
        <f>+COMPRAS!B88:B174</f>
        <v>0</v>
      </c>
      <c r="C88" s="49">
        <f>+InventarioTbl3[[#This Row],[Cantidad]]</f>
        <v>15</v>
      </c>
      <c r="D88" s="70">
        <f>+InventarioTbl3[[#This Row],[Costo Unit.]]</f>
        <v>700</v>
      </c>
      <c r="E88" s="70">
        <v>2500</v>
      </c>
      <c r="F88" s="70">
        <f>+E88-InventarioTbl34[[#This Row],[Costo Unit.]]</f>
        <v>1800</v>
      </c>
      <c r="G88" s="49">
        <f>C88-SUMIF(Ventas!D:D,"PETUNIA",Ventas!F:F)</f>
        <v>13</v>
      </c>
    </row>
    <row r="89" spans="1:7" x14ac:dyDescent="0.25">
      <c r="A89" s="58" t="str">
        <f>+InventarioTbl3[[#This Row],[ESPECIE]]</f>
        <v>PETUNIA AMARILLA COLGANTE</v>
      </c>
      <c r="B89" s="49" t="str">
        <f>+COMPRAS!B89:B173</f>
        <v>COLGANTE</v>
      </c>
      <c r="C89" s="49">
        <f>+InventarioTbl3[[#This Row],[Cantidad]]</f>
        <v>3</v>
      </c>
      <c r="D89" s="70">
        <f>+InventarioTbl3[[#This Row],[Costo Unit.]]</f>
        <v>4800</v>
      </c>
      <c r="E89" s="70">
        <v>9000</v>
      </c>
      <c r="F89" s="70">
        <f>+E89-InventarioTbl34[[#This Row],[Costo Unit.]]</f>
        <v>4200</v>
      </c>
      <c r="G89" s="49">
        <f>C89-SUMIF(Ventas!D:D,"PETUNIA",Ventas!F:F)</f>
        <v>1</v>
      </c>
    </row>
    <row r="90" spans="1:7" x14ac:dyDescent="0.25">
      <c r="A90" s="58" t="str">
        <f>+InventarioTbl3[[#This Row],[ESPECIE]]</f>
        <v>PHILODENDRO SANGUINEA</v>
      </c>
      <c r="B90" s="49">
        <f>+COMPRAS!B90:B174</f>
        <v>3</v>
      </c>
      <c r="C90" s="49">
        <f>+InventarioTbl3[[#This Row],[Cantidad]]</f>
        <v>5</v>
      </c>
      <c r="D90" s="70">
        <f>+InventarioTbl3[[#This Row],[Costo Unit.]]</f>
        <v>4800</v>
      </c>
      <c r="E90" s="70">
        <v>20000</v>
      </c>
      <c r="F90" s="70">
        <f>+E90-InventarioTbl34[[#This Row],[Costo Unit.]]</f>
        <v>15200</v>
      </c>
      <c r="G90" s="49">
        <f>C90-SUMIF(Ventas!D:D,"PHILODENDRO SANGUINEA",Ventas!F:F)</f>
        <v>4</v>
      </c>
    </row>
    <row r="91" spans="1:7" x14ac:dyDescent="0.25">
      <c r="A91" s="58" t="str">
        <f>+InventarioTbl3[[#This Row],[ESPECIE]]</f>
        <v>PHILODENDRO VERDE</v>
      </c>
      <c r="B91" s="49">
        <f>+COMPRAS!B91:B174</f>
        <v>3</v>
      </c>
      <c r="C91" s="49">
        <f>+InventarioTbl3[[#This Row],[Cantidad]]</f>
        <v>7</v>
      </c>
      <c r="D91" s="70">
        <f>+InventarioTbl3[[#This Row],[Costo Unit.]]</f>
        <v>6500</v>
      </c>
      <c r="E91" s="70">
        <v>15000</v>
      </c>
      <c r="F91" s="70">
        <f>+E91-InventarioTbl34[[#This Row],[Costo Unit.]]</f>
        <v>8500</v>
      </c>
      <c r="G91" s="49">
        <f>C91-SUMIF(Ventas!D:D,"PHILODENDRO",Ventas!F:F)</f>
        <v>6</v>
      </c>
    </row>
    <row r="92" spans="1:7" x14ac:dyDescent="0.25">
      <c r="A92" s="41" t="s">
        <v>202</v>
      </c>
      <c r="B92" s="49">
        <f>+COMPRAS!B92:B170</f>
        <v>3</v>
      </c>
      <c r="C92" s="49">
        <f>+InventarioTbl3[[#This Row],[Cantidad]]</f>
        <v>3</v>
      </c>
      <c r="D92" s="70">
        <f>+InventarioTbl3[[#This Row],[Costo Unit.]]</f>
        <v>14000</v>
      </c>
      <c r="E92" s="70">
        <v>25000</v>
      </c>
      <c r="F92" s="70">
        <f>+E92-InventarioTbl34[[#This Row],[Costo Unit.]]</f>
        <v>11000</v>
      </c>
      <c r="G92" s="49">
        <f>C92-SUMIF(Ventas!D:D,"PHILODENDRO WHITE  PRINCESS",Ventas!F:F)</f>
        <v>2</v>
      </c>
    </row>
    <row r="93" spans="1:7" x14ac:dyDescent="0.25">
      <c r="A93" s="58" t="s">
        <v>214</v>
      </c>
      <c r="B93" s="49">
        <f>+COMPRAS!B93:B171</f>
        <v>3</v>
      </c>
      <c r="C93" s="49">
        <f>+InventarioTbl3[[#This Row],[Cantidad]]</f>
        <v>1</v>
      </c>
      <c r="D93" s="70">
        <f>+InventarioTbl3[[#This Row],[Costo Unit.]]</f>
        <v>0</v>
      </c>
      <c r="E93" s="70">
        <v>12000</v>
      </c>
      <c r="F93" s="70">
        <f>+E93-InventarioTbl34[[#This Row],[Costo Unit.]]</f>
        <v>12000</v>
      </c>
      <c r="G93" s="49">
        <f>C93-SUMIF(Ventas!D:D,"PIEL DE LEOPARDO",Ventas!F:F)</f>
        <v>1</v>
      </c>
    </row>
    <row r="94" spans="1:7" x14ac:dyDescent="0.25">
      <c r="A94" s="58" t="str">
        <f>+InventarioTbl3[[#This Row],[ESPECIE]]</f>
        <v>PORTULACA</v>
      </c>
      <c r="B94" s="49"/>
      <c r="C94" s="49">
        <f>+InventarioTbl3[[#This Row],[Cantidad]]</f>
        <v>30</v>
      </c>
      <c r="D94" s="70">
        <f>+InventarioTbl3[[#This Row],[Costo Unit.]]</f>
        <v>700</v>
      </c>
      <c r="E94" s="70">
        <v>3000</v>
      </c>
      <c r="F94" s="70">
        <f>+E94-InventarioTbl34[[#This Row],[Costo Unit.]]</f>
        <v>2300</v>
      </c>
      <c r="G94" s="49">
        <f>C94-SUMIF(Ventas!D:D,"PORTULACA",Ventas!F:F)</f>
        <v>30</v>
      </c>
    </row>
    <row r="95" spans="1:7" x14ac:dyDescent="0.25">
      <c r="A95" s="42" t="s">
        <v>105</v>
      </c>
      <c r="B95" s="49">
        <f>+COMPRAS!B95:B173</f>
        <v>0.5</v>
      </c>
      <c r="C95" s="49">
        <f>+InventarioTbl3[[#This Row],[Cantidad]]</f>
        <v>4</v>
      </c>
      <c r="D95" s="70">
        <f>+InventarioTbl3[[#This Row],[Costo Unit.]]</f>
        <v>0</v>
      </c>
      <c r="E95" s="70">
        <v>4000</v>
      </c>
      <c r="F95" s="70">
        <f>+E95-InventarioTbl34[[#This Row],[Costo Unit.]]</f>
        <v>4000</v>
      </c>
      <c r="G95" s="49">
        <f>C95-SUMIF(Ventas!D:D,"POTUS",Ventas!F:F)</f>
        <v>-3</v>
      </c>
    </row>
    <row r="96" spans="1:7" x14ac:dyDescent="0.25">
      <c r="A96" s="59" t="s">
        <v>365</v>
      </c>
      <c r="B96" s="49" t="str">
        <f>+COMPRAS!B96:B174</f>
        <v>COLGANTE</v>
      </c>
      <c r="C96" s="49">
        <f>+InventarioTbl3[[#This Row],[Cantidad]]</f>
        <v>6</v>
      </c>
      <c r="D96" s="70">
        <f>+InventarioTbl3[[#This Row],[Costo Unit.]]</f>
        <v>3500</v>
      </c>
      <c r="E96" s="70">
        <v>8000</v>
      </c>
      <c r="F96" s="70">
        <f>+E96-InventarioTbl34[[#This Row],[Costo Unit.]]</f>
        <v>4500</v>
      </c>
      <c r="G96" s="49">
        <f>C96-SUMIF(Ventas!D:D,"POTUS LEMON",Ventas!F:F)</f>
        <v>5</v>
      </c>
    </row>
    <row r="97" spans="1:7" x14ac:dyDescent="0.25">
      <c r="A97" s="59" t="s">
        <v>366</v>
      </c>
      <c r="B97" s="49">
        <f>+COMPRAS!B97:B175</f>
        <v>0.5</v>
      </c>
      <c r="C97" s="49">
        <f>+InventarioTbl3[[#This Row],[Cantidad]]</f>
        <v>6</v>
      </c>
      <c r="D97" s="70">
        <f>+InventarioTbl3[[#This Row],[Costo Unit.]]</f>
        <v>2000</v>
      </c>
      <c r="E97" s="70">
        <v>4000</v>
      </c>
      <c r="F97" s="70">
        <f>+E97-InventarioTbl34[[#This Row],[Costo Unit.]]</f>
        <v>2000</v>
      </c>
      <c r="G97" s="49">
        <f>C97-SUMIF(Ventas!D:D,"POTUS VARIEGADO BLANCO",Ventas!F:F)</f>
        <v>3</v>
      </c>
    </row>
    <row r="98" spans="1:7" x14ac:dyDescent="0.25">
      <c r="A98" s="59" t="s">
        <v>367</v>
      </c>
      <c r="B98" s="49" t="str">
        <f>+COMPRAS!B98:B176</f>
        <v>COLGANTE</v>
      </c>
      <c r="C98" s="49">
        <f>+InventarioTbl3[[#This Row],[Cantidad]]</f>
        <v>7</v>
      </c>
      <c r="D98" s="70">
        <f>+InventarioTbl3[[#This Row],[Costo Unit.]]</f>
        <v>3500</v>
      </c>
      <c r="E98" s="70">
        <v>8000</v>
      </c>
      <c r="F98" s="70">
        <f>+E98-InventarioTbl34[[#This Row],[Costo Unit.]]</f>
        <v>4500</v>
      </c>
      <c r="G98" s="49">
        <f>C98-SUMIF(Ventas!D:D,"POTUS VARIEGADO VERDE",Ventas!F:F)</f>
        <v>7</v>
      </c>
    </row>
    <row r="99" spans="1:7" x14ac:dyDescent="0.25">
      <c r="A99" s="59" t="str">
        <f>+InventarioTbl3[[#This Row],[ESPECIE]]</f>
        <v>PORTULACA (VERDOLAGA)</v>
      </c>
      <c r="B99" s="49"/>
      <c r="C99" s="49">
        <f>+InventarioTbl3[[#This Row],[Cantidad]]</f>
        <v>60</v>
      </c>
      <c r="D99" s="70">
        <f>+InventarioTbl3[[#This Row],[Costo Unit.]]</f>
        <v>700</v>
      </c>
      <c r="E99" s="70">
        <v>3000</v>
      </c>
      <c r="F99" s="70">
        <f>+E99-InventarioTbl34[[#This Row],[Costo Unit.]]</f>
        <v>2300</v>
      </c>
      <c r="G99" s="49">
        <f>C99-SUMIF(Ventas!D:D,"VERDOLAGA",Ventas!F:F)</f>
        <v>60</v>
      </c>
    </row>
    <row r="100" spans="1:7" x14ac:dyDescent="0.25">
      <c r="A100" s="59" t="s">
        <v>667</v>
      </c>
      <c r="B100" s="49"/>
      <c r="C100" s="49">
        <f>+InventarioTbl3[[#This Row],[Cantidad]]</f>
        <v>5</v>
      </c>
      <c r="D100" s="70">
        <f>+InventarioTbl3[[#This Row],[Costo Unit.]]</f>
        <v>5000</v>
      </c>
      <c r="E100" s="70">
        <v>10000</v>
      </c>
      <c r="F100" s="70">
        <f>+E100-InventarioTbl34[[#This Row],[Costo Unit.]]</f>
        <v>5000</v>
      </c>
      <c r="G100" s="49">
        <f>C100-SUMIF(Ventas!D:D,"RETAMA",Ventas!F:F)</f>
        <v>5</v>
      </c>
    </row>
    <row r="101" spans="1:7" x14ac:dyDescent="0.25">
      <c r="A101" s="59" t="str">
        <f>+InventarioTbl3[[#This Row],[ESPECIE]]</f>
        <v>RUPELLI</v>
      </c>
      <c r="B101" s="49">
        <f>+COMPRAS!B101:B177</f>
        <v>0</v>
      </c>
      <c r="C101" s="49">
        <f>+InventarioTbl3[[#This Row],[Cantidad]]</f>
        <v>18</v>
      </c>
      <c r="D101" s="70">
        <f>+InventarioTbl3[[#This Row],[Costo Unit.]]</f>
        <v>2500</v>
      </c>
      <c r="E101" s="70">
        <v>5000</v>
      </c>
      <c r="F101" s="70">
        <f>+E101-InventarioTbl34[[#This Row],[Costo Unit.]]</f>
        <v>2500</v>
      </c>
      <c r="G101" s="49">
        <f>C101-SUMIF(Ventas!D:D,"RUPELLI",Ventas!F:F)</f>
        <v>15</v>
      </c>
    </row>
    <row r="102" spans="1:7" x14ac:dyDescent="0.25">
      <c r="A102" s="59" t="s">
        <v>364</v>
      </c>
      <c r="B102" s="49">
        <f>+COMPRAS!B102:B174</f>
        <v>0</v>
      </c>
      <c r="C102" s="49">
        <f>+InventarioTbl3[[#This Row],[Cantidad]]</f>
        <v>1</v>
      </c>
      <c r="D102" s="70">
        <f>+InventarioTbl3[[#This Row],[Costo Unit.]]</f>
        <v>6500</v>
      </c>
      <c r="E102" s="70">
        <v>14000</v>
      </c>
      <c r="F102" s="70">
        <f>+E102-InventarioTbl34[[#This Row],[Costo Unit.]]</f>
        <v>7500</v>
      </c>
      <c r="G102" s="49">
        <f>C102-SUMIF(Ventas!D:D,"SOL DE SUDAFRICA",Ventas!F:F)</f>
        <v>0</v>
      </c>
    </row>
    <row r="103" spans="1:7" x14ac:dyDescent="0.25">
      <c r="A103" s="41" t="s">
        <v>223</v>
      </c>
      <c r="B103" s="49">
        <f>+COMPRAS!B103:B174</f>
        <v>0</v>
      </c>
      <c r="C103" s="49">
        <f>+InventarioTbl3[[#This Row],[Cantidad]]</f>
        <v>6</v>
      </c>
      <c r="D103" s="70">
        <f>+InventarioTbl3[[#This Row],[Costo Unit.]]</f>
        <v>12000</v>
      </c>
      <c r="E103" s="70">
        <v>60000</v>
      </c>
      <c r="F103" s="70">
        <f>+E103-InventarioTbl34[[#This Row],[Costo Unit.]]</f>
        <v>48000</v>
      </c>
      <c r="G103" s="49">
        <f>C103-SUMIF(Ventas!D:D,"STRELITZIA NICOLAI",Ventas!F:F)</f>
        <v>4</v>
      </c>
    </row>
    <row r="104" spans="1:7" x14ac:dyDescent="0.25">
      <c r="A104" s="42" t="s">
        <v>222</v>
      </c>
      <c r="B104" s="49">
        <f>+COMPRAS!B104:B176</f>
        <v>5</v>
      </c>
      <c r="C104" s="49">
        <f>+InventarioTbl3[[#This Row],[Cantidad]]</f>
        <v>2</v>
      </c>
      <c r="D104" s="70">
        <f>+InventarioTbl3[[#This Row],[Costo Unit.]]</f>
        <v>0</v>
      </c>
      <c r="E104" s="70">
        <v>60000</v>
      </c>
      <c r="F104" s="70">
        <f>+E104-InventarioTbl34[[#This Row],[Costo Unit.]]</f>
        <v>60000</v>
      </c>
      <c r="G104" s="49">
        <f>C104-SUMIF(Ventas!D:D,"STRELITZIA REGINAE",Ventas!F:F)</f>
        <v>0</v>
      </c>
    </row>
    <row r="105" spans="1:7" x14ac:dyDescent="0.25">
      <c r="A105" s="64" t="s">
        <v>418</v>
      </c>
      <c r="B105" s="49" t="str">
        <f>+COMPRAS!B105:B177</f>
        <v>M15</v>
      </c>
      <c r="C105" s="49">
        <f>+InventarioTbl3[[#This Row],[Cantidad]]</f>
        <v>3</v>
      </c>
      <c r="D105" s="70">
        <f>+InventarioTbl3[[#This Row],[Costo Unit.]]</f>
        <v>6000</v>
      </c>
      <c r="E105" s="70">
        <v>12000</v>
      </c>
      <c r="F105" s="70">
        <f>+E105-InventarioTbl34[[#This Row],[Costo Unit.]]</f>
        <v>6000</v>
      </c>
      <c r="G105" s="49">
        <f>C105-SUMIF(Ventas!D:D,"STROMANTE",Ventas!F:F)</f>
        <v>3</v>
      </c>
    </row>
    <row r="106" spans="1:7" x14ac:dyDescent="0.25">
      <c r="A106" s="64" t="str">
        <f>+InventarioTbl3[[#This Row],[ESPECIE]]</f>
        <v>STROMANTHE GRANDE</v>
      </c>
      <c r="B106" s="49">
        <f>+COMPRAS!B106:B178</f>
        <v>3</v>
      </c>
      <c r="C106" s="49">
        <f>+InventarioTbl3[[#This Row],[Cantidad]]</f>
        <v>6</v>
      </c>
      <c r="D106" s="70">
        <f>+InventarioTbl3[[#This Row],[Costo Unit.]]</f>
        <v>6000</v>
      </c>
      <c r="E106" s="70">
        <v>30000</v>
      </c>
      <c r="F106" s="70">
        <f>+E106-InventarioTbl34[[#This Row],[Costo Unit.]]</f>
        <v>24000</v>
      </c>
      <c r="G106" s="49">
        <f>C106-SUMIF(Ventas!D:D,"STROMANTE GRANDE",Ventas!F:F)</f>
        <v>6</v>
      </c>
    </row>
    <row r="107" spans="1:7" x14ac:dyDescent="0.25">
      <c r="A107" s="64" t="str">
        <f>+InventarioTbl3[[#This Row],[ESPECIE]]</f>
        <v>STROMANTHE CHICO</v>
      </c>
      <c r="B107" s="49">
        <f>+COMPRAS!B107:B178</f>
        <v>0</v>
      </c>
      <c r="C107" s="49">
        <f>+InventarioTbl3[[#This Row],[Cantidad]]</f>
        <v>10</v>
      </c>
      <c r="D107" s="70">
        <f>+InventarioTbl3[[#This Row],[Costo Unit.]]</f>
        <v>3500</v>
      </c>
      <c r="E107" s="70">
        <v>7500</v>
      </c>
      <c r="F107" s="70">
        <f>+E107-InventarioTbl34[[#This Row],[Costo Unit.]]</f>
        <v>4000</v>
      </c>
      <c r="G107" s="49">
        <f>C107-SUMIF(Ventas!D:D,"STROMANTE CHICO",Ventas!F:F)</f>
        <v>10</v>
      </c>
    </row>
    <row r="108" spans="1:7" x14ac:dyDescent="0.25">
      <c r="A108" s="64" t="s">
        <v>224</v>
      </c>
      <c r="B108" s="49" t="str">
        <f>+COMPRAS!B108:B177</f>
        <v>0,5/1L</v>
      </c>
      <c r="C108" s="49">
        <f>+InventarioTbl3[[#This Row],[Cantidad]]</f>
        <v>7</v>
      </c>
      <c r="D108" s="70">
        <f>+InventarioTbl3[[#This Row],[Costo Unit.]]</f>
        <v>0</v>
      </c>
      <c r="E108" s="70">
        <v>7000</v>
      </c>
      <c r="F108" s="70">
        <f>+E108-InventarioTbl34[[#This Row],[Costo Unit.]]</f>
        <v>7000</v>
      </c>
      <c r="G108" s="49">
        <f>C108-SUMIF(Ventas!D:D,"TRADESCANTEA",Ventas!F:F)</f>
        <v>7</v>
      </c>
    </row>
    <row r="109" spans="1:7" ht="14.25" customHeight="1" x14ac:dyDescent="0.25">
      <c r="A109" s="64" t="str">
        <f>+InventarioTbl3[[#This Row],[ESPECIE]]</f>
        <v>TREBOL ROJO</v>
      </c>
      <c r="B109" s="49" t="str">
        <f>+COMPRAS!B109:B178</f>
        <v>COLGANTE</v>
      </c>
      <c r="C109" s="49">
        <f>+InventarioTbl3[[#This Row],[Cantidad]]</f>
        <v>1</v>
      </c>
      <c r="D109" s="70">
        <f>+InventarioTbl3[[#This Row],[Costo Unit.]]</f>
        <v>4500</v>
      </c>
      <c r="E109" s="70">
        <v>9000</v>
      </c>
      <c r="F109" s="70">
        <f>+E109-InventarioTbl34[[#This Row],[Costo Unit.]]</f>
        <v>4500</v>
      </c>
      <c r="G109" s="49">
        <f>C109-SUMIF(Ventas!D:D,"TREBOL ROJO",Ventas!F:F)</f>
        <v>0</v>
      </c>
    </row>
    <row r="110" spans="1:7" x14ac:dyDescent="0.25">
      <c r="A110" s="64" t="str">
        <f>+InventarioTbl3[[#This Row],[ESPECIE]]</f>
        <v>TUMBERGIA</v>
      </c>
      <c r="B110" s="49"/>
      <c r="C110" s="49">
        <f>+InventarioTbl3[[#This Row],[Cantidad]]</f>
        <v>3</v>
      </c>
      <c r="D110" s="70">
        <f>+InventarioTbl3[[#This Row],[Costo Unit.]]</f>
        <v>3000</v>
      </c>
      <c r="E110" s="70">
        <v>7500</v>
      </c>
      <c r="F110" s="70">
        <f>+E110-InventarioTbl34[[#This Row],[Costo Unit.]]</f>
        <v>4500</v>
      </c>
      <c r="G110" s="49">
        <f>C110-SUMIF(Ventas!D:D,"TUMBALGHIA",Ventas!F:F)</f>
        <v>3</v>
      </c>
    </row>
    <row r="111" spans="1:7" x14ac:dyDescent="0.25">
      <c r="A111" s="64" t="str">
        <f>+InventarioTbl3[[#This Row],[ESPECIE]]</f>
        <v>VINCA</v>
      </c>
      <c r="B111" s="49" t="str">
        <f>+COMPRAS!B111:B178</f>
        <v>M14</v>
      </c>
      <c r="C111" s="49">
        <f>+InventarioTbl3[[#This Row],[Cantidad]]</f>
        <v>96</v>
      </c>
      <c r="D111" s="70">
        <f>+InventarioTbl3[[#This Row],[Costo Unit.]]</f>
        <v>900</v>
      </c>
      <c r="E111" s="70">
        <v>3000</v>
      </c>
      <c r="F111" s="70">
        <f>+E111-InventarioTbl34[[#This Row],[Costo Unit.]]</f>
        <v>2100</v>
      </c>
      <c r="G111" s="49">
        <f>C111-SUMIF(Ventas!D:D,"VINCA",Ventas!F:F)</f>
        <v>68</v>
      </c>
    </row>
    <row r="112" spans="1:7" x14ac:dyDescent="0.25">
      <c r="A112" s="64" t="str">
        <f>+InventarioTbl3[[#This Row],[ESPECIE]]</f>
        <v>ZAMIOCULCA</v>
      </c>
      <c r="B112" s="49"/>
      <c r="C112" s="49">
        <f>+InventarioTbl3[[#This Row],[Cantidad]]</f>
        <v>2</v>
      </c>
      <c r="D112" s="70">
        <f>+InventarioTbl3[[#This Row],[Costo Unit.]]</f>
        <v>22500</v>
      </c>
      <c r="E112" s="70">
        <v>50000</v>
      </c>
      <c r="F112" s="70">
        <f>+E112-InventarioTbl34[[#This Row],[Costo Unit.]]</f>
        <v>27500</v>
      </c>
      <c r="G112" s="49">
        <f>C112-SUMIF(Ventas!D:D,"ZAMIOCULCA",Ventas!F:F)</f>
        <v>2</v>
      </c>
    </row>
    <row r="113" spans="1:7" x14ac:dyDescent="0.25">
      <c r="A113" s="64" t="str">
        <f>+InventarioTbl3[[#This Row],[ESPECIE]]</f>
        <v>ZAMIOCULCA BLACK</v>
      </c>
      <c r="B113" s="49"/>
      <c r="C113" s="49">
        <f>+InventarioTbl3[[#This Row],[Cantidad]]</f>
        <v>2</v>
      </c>
      <c r="D113" s="70">
        <f>+InventarioTbl3[[#This Row],[Costo Unit.]]</f>
        <v>31500</v>
      </c>
      <c r="E113" s="70">
        <v>61000</v>
      </c>
      <c r="F113" s="70">
        <f>+E113-InventarioTbl34[[#This Row],[Costo Unit.]]</f>
        <v>29500</v>
      </c>
      <c r="G113" s="49">
        <f>C113-SUMIF(Ventas!D:D,"ZAMIOCULCA BLACK",Ventas!F:F)</f>
        <v>2</v>
      </c>
    </row>
    <row r="114" spans="1:7" x14ac:dyDescent="0.25">
      <c r="A114" s="64" t="str">
        <f>+InventarioTbl3[[#This Row],[ESPECIE]]</f>
        <v>ZINNIA</v>
      </c>
      <c r="B114" s="49"/>
      <c r="C114" s="49">
        <f>+InventarioTbl3[[#This Row],[Cantidad]]</f>
        <v>15</v>
      </c>
      <c r="D114" s="70">
        <f>+InventarioTbl3[[#This Row],[Costo Unit.]]</f>
        <v>1700</v>
      </c>
      <c r="E114" s="70">
        <v>4000</v>
      </c>
      <c r="F114" s="70">
        <f>+E114-InventarioTbl34[[#This Row],[Costo Unit.]]</f>
        <v>2300</v>
      </c>
      <c r="G114" s="49">
        <f>C114-SUMIF(Ventas!D:D,"ZINNIA",Ventas!F:F)</f>
        <v>15</v>
      </c>
    </row>
    <row r="115" spans="1:7" x14ac:dyDescent="0.25">
      <c r="A115" s="37" t="s">
        <v>111</v>
      </c>
      <c r="B115" s="60"/>
      <c r="C115" s="60"/>
      <c r="D115" s="71">
        <f>+InventarioTbl3[[#This Row],[Costo Unit.]]</f>
        <v>0</v>
      </c>
      <c r="E115" s="71"/>
      <c r="F115" s="71"/>
      <c r="G115" s="60"/>
    </row>
    <row r="116" spans="1:7" x14ac:dyDescent="0.25">
      <c r="A116" s="43" t="s">
        <v>75</v>
      </c>
      <c r="B116" s="49">
        <f>+COMPRAS!B116:B179</f>
        <v>0</v>
      </c>
      <c r="C116" s="49">
        <f>+InventarioTbl3[[#This Row],[Cantidad]]</f>
        <v>10</v>
      </c>
      <c r="D116" s="70">
        <f>+InventarioTbl3[[#This Row],[Costo Unit.]]</f>
        <v>5500</v>
      </c>
      <c r="E116" s="70">
        <v>14000</v>
      </c>
      <c r="F116" s="70">
        <f>+E116-InventarioTbl34[[#This Row],[Costo Unit.]]</f>
        <v>8500</v>
      </c>
      <c r="G116" s="49">
        <f>C116-SUMIF(Ventas!D:D,"JAZMIN CHINO",Ventas!F:F)</f>
        <v>10</v>
      </c>
    </row>
    <row r="117" spans="1:7" x14ac:dyDescent="0.25">
      <c r="A117" s="43" t="s">
        <v>73</v>
      </c>
      <c r="B117" s="49">
        <f>+COMPRAS!B117:B187</f>
        <v>0</v>
      </c>
      <c r="C117" s="49">
        <f>+InventarioTbl3[[#This Row],[Cantidad]]</f>
        <v>5</v>
      </c>
      <c r="D117" s="70">
        <f>+InventarioTbl3[[#This Row],[Costo Unit.]]</f>
        <v>3000</v>
      </c>
      <c r="E117" s="70">
        <v>7500</v>
      </c>
      <c r="F117" s="70">
        <f>+E117-InventarioTbl34[[#This Row],[Costo Unit.]]</f>
        <v>4500</v>
      </c>
      <c r="G117" s="49">
        <f>C117-SUMIF(Ventas!D:D,"JAZMIN DEL CIELO",Ventas!F:F)</f>
        <v>3</v>
      </c>
    </row>
    <row r="118" spans="1:7" x14ac:dyDescent="0.25">
      <c r="A118" s="43" t="s">
        <v>71</v>
      </c>
      <c r="B118" s="49">
        <f>+COMPRAS!B118:B196</f>
        <v>5</v>
      </c>
      <c r="C118" s="49">
        <f>+InventarioTbl3[[#This Row],[Cantidad]]</f>
        <v>10</v>
      </c>
      <c r="D118" s="70">
        <f>+InventarioTbl3[[#This Row],[Costo Unit.]]</f>
        <v>5000</v>
      </c>
      <c r="E118" s="70">
        <v>10000</v>
      </c>
      <c r="F118" s="70">
        <f>+E118-InventarioTbl34[[#This Row],[Costo Unit.]]</f>
        <v>5000</v>
      </c>
      <c r="G118" s="49">
        <f>C118-SUMIF(Ventas!D:D,"JAZMIN DE LECHE",Ventas!F:F)</f>
        <v>4</v>
      </c>
    </row>
    <row r="119" spans="1:7" x14ac:dyDescent="0.25">
      <c r="A119" s="43" t="s">
        <v>70</v>
      </c>
      <c r="B119" s="49">
        <f>+COMPRAS!B119:B199</f>
        <v>0</v>
      </c>
      <c r="C119" s="49">
        <f>+InventarioTbl3[[#This Row],[Cantidad]]</f>
        <v>10</v>
      </c>
      <c r="D119" s="70">
        <f>+InventarioTbl3[[#This Row],[Costo Unit.]]</f>
        <v>3000</v>
      </c>
      <c r="E119" s="70">
        <v>6000</v>
      </c>
      <c r="F119" s="70">
        <f>+E119-InventarioTbl34[[#This Row],[Costo Unit.]]</f>
        <v>3000</v>
      </c>
      <c r="G119" s="49">
        <f>C119-SUMIF(Ventas!D:D,"JAZMIN DEL CABO",Ventas!F:F)</f>
        <v>10</v>
      </c>
    </row>
    <row r="120" spans="1:7" x14ac:dyDescent="0.25">
      <c r="A120" s="43" t="s">
        <v>69</v>
      </c>
      <c r="B120" s="49">
        <f>+COMPRAS!B120:B200</f>
        <v>0</v>
      </c>
      <c r="C120" s="49">
        <f>+InventarioTbl3[[#This Row],[Cantidad]]</f>
        <v>10</v>
      </c>
      <c r="D120" s="70">
        <f>+InventarioTbl3[[#This Row],[Costo Unit.]]</f>
        <v>3000</v>
      </c>
      <c r="E120" s="70">
        <v>7500</v>
      </c>
      <c r="F120" s="70">
        <f>+E120-InventarioTbl34[[#This Row],[Costo Unit.]]</f>
        <v>4500</v>
      </c>
      <c r="G120" s="49">
        <f>C120-SUMIF(Ventas!D:D,"JAZMIN DEL PAIS",Ventas!F:F)</f>
        <v>10</v>
      </c>
    </row>
    <row r="121" spans="1:7" x14ac:dyDescent="0.25">
      <c r="A121" s="43" t="s">
        <v>198</v>
      </c>
      <c r="B121" s="49">
        <f>+COMPRAS!B121:B201</f>
        <v>4</v>
      </c>
      <c r="C121" s="49">
        <f>+InventarioTbl3[[#This Row],[Cantidad]]</f>
        <v>10</v>
      </c>
      <c r="D121" s="70">
        <f>+InventarioTbl3[[#This Row],[Costo Unit.]]</f>
        <v>4400</v>
      </c>
      <c r="E121" s="70">
        <v>8800</v>
      </c>
      <c r="F121" s="70">
        <f>+E121-InventarioTbl34[[#This Row],[Costo Unit.]]</f>
        <v>4400</v>
      </c>
      <c r="G121" s="49">
        <f>C121-SUMIF(Ventas!D:D,"JAZMIN AMARILLO",Ventas!F:F)</f>
        <v>5</v>
      </c>
    </row>
    <row r="122" spans="1:7" x14ac:dyDescent="0.25">
      <c r="A122" s="43" t="s">
        <v>199</v>
      </c>
      <c r="B122" s="49">
        <f>+COMPRAS!B122:B202</f>
        <v>0</v>
      </c>
      <c r="C122" s="49">
        <f>+InventarioTbl3[[#This Row],[Cantidad]]</f>
        <v>0</v>
      </c>
      <c r="D122" s="70">
        <f>+InventarioTbl3[[#This Row],[Costo Unit.]]</f>
        <v>0</v>
      </c>
      <c r="E122" s="70"/>
      <c r="F122" s="70">
        <f>+E122-InventarioTbl34[[#This Row],[Costo Unit.]]</f>
        <v>0</v>
      </c>
      <c r="G122" s="49">
        <f>C122-SUMIF(Ventas!D:D,"JAZMIN DE MADAGASCAR",Ventas!F:F)</f>
        <v>0</v>
      </c>
    </row>
    <row r="123" spans="1:7" x14ac:dyDescent="0.25">
      <c r="A123" s="83" t="str">
        <f>+InventarioTbl3[[#This Row],[ESPECIE]]</f>
        <v>JAZMIN ESTRELLA</v>
      </c>
      <c r="B123" s="49">
        <f>+COMPRAS!B123:B203</f>
        <v>0</v>
      </c>
      <c r="C123" s="49">
        <f>+InventarioTbl3[[#This Row],[Cantidad]]</f>
        <v>5</v>
      </c>
      <c r="D123" s="70">
        <f>+InventarioTbl3[[#This Row],[Costo Unit.]]</f>
        <v>3000</v>
      </c>
      <c r="E123" s="70">
        <v>8000</v>
      </c>
      <c r="F123" s="70">
        <f>+E123-InventarioTbl34[[#This Row],[Costo Unit.]]</f>
        <v>5000</v>
      </c>
      <c r="G123" s="49">
        <f>C123-SUMIF(Ventas!D:D,"JAZMIN ESTRELLA",Ventas!F:F)</f>
        <v>5</v>
      </c>
    </row>
    <row r="124" spans="1:7" x14ac:dyDescent="0.25">
      <c r="A124" s="83" t="str">
        <f>+InventarioTbl3[[#This Row],[ESPECIE]]</f>
        <v>JAZMIN CAROLINA</v>
      </c>
      <c r="B124" s="49">
        <f>+COMPRAS!B124:B204</f>
        <v>0</v>
      </c>
      <c r="C124" s="49">
        <f>+InventarioTbl3[[#This Row],[Cantidad]]</f>
        <v>1</v>
      </c>
      <c r="D124" s="70">
        <f>+InventarioTbl3[[#This Row],[Costo Unit.]]</f>
        <v>3000</v>
      </c>
      <c r="E124" s="70">
        <v>7500</v>
      </c>
      <c r="F124" s="70">
        <f>+E124-InventarioTbl34[[#This Row],[Costo Unit.]]</f>
        <v>4500</v>
      </c>
      <c r="G124" s="49">
        <f>C124-SUMIF(Ventas!D:D,"JAZMIN CAROLINA",Ventas!F:F)</f>
        <v>0</v>
      </c>
    </row>
    <row r="125" spans="1:7" x14ac:dyDescent="0.25">
      <c r="A125" s="43" t="s">
        <v>79</v>
      </c>
      <c r="B125" s="49">
        <f>+COMPRAS!B125:B203</f>
        <v>0</v>
      </c>
      <c r="C125" s="49">
        <f>+InventarioTbl3[[#This Row],[Cantidad]]</f>
        <v>0</v>
      </c>
      <c r="D125" s="70">
        <f>+InventarioTbl3[[#This Row],[Costo Unit.]]</f>
        <v>0</v>
      </c>
      <c r="E125" s="70"/>
      <c r="F125" s="70">
        <f>+E125-InventarioTbl34[[#This Row],[Costo Unit.]]</f>
        <v>0</v>
      </c>
      <c r="G125" s="49">
        <f>C125-SUMIF(Ventas!D:D,"JAZMIN MAGNO",Ventas!F:F)</f>
        <v>0</v>
      </c>
    </row>
    <row r="126" spans="1:7" x14ac:dyDescent="0.25">
      <c r="A126" s="43" t="s">
        <v>80</v>
      </c>
      <c r="B126" s="49">
        <f>+COMPRAS!B126:B205</f>
        <v>0</v>
      </c>
      <c r="C126" s="49">
        <f>+InventarioTbl3[[#This Row],[Cantidad]]</f>
        <v>0</v>
      </c>
      <c r="D126" s="70">
        <f>+InventarioTbl3[[#This Row],[Costo Unit.]]</f>
        <v>0</v>
      </c>
      <c r="E126" s="70"/>
      <c r="F126" s="70">
        <f>+E126-InventarioTbl34[[#This Row],[Costo Unit.]]</f>
        <v>0</v>
      </c>
      <c r="G126" s="49">
        <f>C126-SUMIF(Ventas!D:D,"JAZMIN BRASILERO",Ventas!F:F)</f>
        <v>0</v>
      </c>
    </row>
    <row r="127" spans="1:7" x14ac:dyDescent="0.25">
      <c r="A127" s="43" t="s">
        <v>72</v>
      </c>
      <c r="B127" s="49">
        <f>+COMPRAS!B127:B206</f>
        <v>0</v>
      </c>
      <c r="C127" s="49">
        <f>+InventarioTbl3[[#This Row],[Cantidad]]</f>
        <v>18</v>
      </c>
      <c r="D127" s="70">
        <f>+InventarioTbl3[[#This Row],[Costo Unit.]]</f>
        <v>5000</v>
      </c>
      <c r="E127" s="70">
        <v>15000</v>
      </c>
      <c r="F127" s="70">
        <f>+E127-InventarioTbl34[[#This Row],[Costo Unit.]]</f>
        <v>10000</v>
      </c>
      <c r="G127" s="49">
        <f>C127-SUMIF(Ventas!D:D,"JAZMIN PARAGUAYO",Ventas!F:F)</f>
        <v>10</v>
      </c>
    </row>
    <row r="128" spans="1:7" x14ac:dyDescent="0.25">
      <c r="A128" s="37" t="s">
        <v>46</v>
      </c>
      <c r="B128" s="60"/>
      <c r="C128" s="60"/>
      <c r="D128" s="71"/>
      <c r="E128" s="71"/>
      <c r="F128" s="71"/>
      <c r="G128" s="60"/>
    </row>
    <row r="129" spans="1:7" x14ac:dyDescent="0.25">
      <c r="A129" s="44" t="s">
        <v>101</v>
      </c>
      <c r="B129" s="49">
        <f>+COMPRAS!B129:B212</f>
        <v>0</v>
      </c>
      <c r="C129" s="49">
        <f>+InventarioTbl3[[#This Row],[Cantidad]]</f>
        <v>0</v>
      </c>
      <c r="D129" s="70">
        <f>+InventarioTbl3[[#This Row],[Costo Unit.]]</f>
        <v>0</v>
      </c>
      <c r="E129" s="70"/>
      <c r="F129" s="70">
        <f>+E129-InventarioTbl34[[#This Row],[Costo Unit.]]</f>
        <v>0</v>
      </c>
      <c r="G129" s="49">
        <f>C129-SUMIF(Ventas!D:D,"AJENJO",Ventas!F:F)</f>
        <v>0</v>
      </c>
    </row>
    <row r="130" spans="1:7" x14ac:dyDescent="0.25">
      <c r="A130" s="45" t="s">
        <v>97</v>
      </c>
      <c r="B130" s="49">
        <f>+COMPRAS!B130:B213</f>
        <v>0</v>
      </c>
      <c r="C130" s="49">
        <f>+InventarioTbl3[[#This Row],[Cantidad]]</f>
        <v>30</v>
      </c>
      <c r="D130" s="70">
        <f>+InventarioTbl3[[#This Row],[Costo Unit.]]</f>
        <v>700</v>
      </c>
      <c r="E130" s="70">
        <v>2500</v>
      </c>
      <c r="F130" s="70">
        <f>+E130-InventarioTbl34[[#This Row],[Costo Unit.]]</f>
        <v>1800</v>
      </c>
      <c r="G130" s="49">
        <f>C130-SUMIF(Ventas!D:D,"ALBAHACA",Ventas!F:F)</f>
        <v>19</v>
      </c>
    </row>
    <row r="131" spans="1:7" x14ac:dyDescent="0.25">
      <c r="A131" s="62" t="str">
        <f>+InventarioTbl3[[#This Row],[ESPECIE]]</f>
        <v>ANIZ</v>
      </c>
      <c r="B131" s="49">
        <f>+COMPRAS!B131:B214</f>
        <v>0</v>
      </c>
      <c r="C131" s="49">
        <f>+InventarioTbl3[[#This Row],[Cantidad]]</f>
        <v>21</v>
      </c>
      <c r="D131" s="70">
        <f>+InventarioTbl3[[#This Row],[Costo Unit.]]</f>
        <v>1000</v>
      </c>
      <c r="E131" s="70">
        <v>3000</v>
      </c>
      <c r="F131" s="70">
        <f>+E131-InventarioTbl34[[#This Row],[Costo Unit.]]</f>
        <v>2000</v>
      </c>
      <c r="G131" s="49">
        <f>C131-SUMIF(Ventas!D:D,"ANIZ",Ventas!F:F)</f>
        <v>15</v>
      </c>
    </row>
    <row r="132" spans="1:7" x14ac:dyDescent="0.25">
      <c r="A132" s="44" t="s">
        <v>96</v>
      </c>
      <c r="B132" s="49">
        <f>+COMPRAS!B132:B214</f>
        <v>0</v>
      </c>
      <c r="C132" s="49">
        <f>+InventarioTbl3[[#This Row],[Cantidad]]</f>
        <v>0</v>
      </c>
      <c r="D132" s="70">
        <f>+InventarioTbl3[[#This Row],[Costo Unit.]]</f>
        <v>0</v>
      </c>
      <c r="E132" s="72"/>
      <c r="F132" s="70">
        <f>+E132-InventarioTbl34[[#This Row],[Costo Unit.]]</f>
        <v>0</v>
      </c>
      <c r="G132" s="49">
        <f>C132-SUMIF(Ventas!D:D,"BURRITO",Ventas!F:F)</f>
        <v>0</v>
      </c>
    </row>
    <row r="133" spans="1:7" x14ac:dyDescent="0.25">
      <c r="A133" s="44" t="s">
        <v>201</v>
      </c>
      <c r="B133" s="49">
        <f>+COMPRAS!B133:B215</f>
        <v>0.7</v>
      </c>
      <c r="C133" s="49">
        <f>+InventarioTbl3[[#This Row],[Cantidad]]</f>
        <v>4</v>
      </c>
      <c r="D133" s="70">
        <f>+InventarioTbl3[[#This Row],[Costo Unit.]]</f>
        <v>1100</v>
      </c>
      <c r="E133" s="70">
        <v>2500</v>
      </c>
      <c r="F133" s="70">
        <f>+E133-InventarioTbl34[[#This Row],[Costo Unit.]]</f>
        <v>1400</v>
      </c>
      <c r="G133" s="49">
        <f>C133-SUMIF(Ventas!D:D,"CEDRON PARAGUAYO",Ventas!F:F)</f>
        <v>1</v>
      </c>
    </row>
    <row r="134" spans="1:7" x14ac:dyDescent="0.25">
      <c r="A134" s="45" t="s">
        <v>102</v>
      </c>
      <c r="B134" s="49">
        <f>+COMPRAS!B134:B217</f>
        <v>0</v>
      </c>
      <c r="C134" s="49">
        <f>+InventarioTbl3[[#This Row],[Cantidad]]</f>
        <v>21</v>
      </c>
      <c r="D134" s="70">
        <f>+InventarioTbl3[[#This Row],[Costo Unit.]]</f>
        <v>3000</v>
      </c>
      <c r="E134" s="70">
        <v>10000</v>
      </c>
      <c r="F134" s="70">
        <f>+E134-InventarioTbl34[[#This Row],[Costo Unit.]]</f>
        <v>7000</v>
      </c>
      <c r="G134" s="49">
        <f>C134-SUMIF(Ventas!D:D,"CITRONELA",Ventas!F:F)</f>
        <v>21</v>
      </c>
    </row>
    <row r="135" spans="1:7" x14ac:dyDescent="0.25">
      <c r="A135" s="45" t="s">
        <v>200</v>
      </c>
      <c r="B135" s="49">
        <f>+COMPRAS!B135:B220</f>
        <v>0.7</v>
      </c>
      <c r="C135" s="49">
        <f>+InventarioTbl3[[#This Row],[Cantidad]]</f>
        <v>13</v>
      </c>
      <c r="D135" s="70">
        <f>+InventarioTbl3[[#This Row],[Costo Unit.]]</f>
        <v>1100</v>
      </c>
      <c r="E135" s="70">
        <v>3000</v>
      </c>
      <c r="F135" s="70">
        <f>+E135-InventarioTbl34[[#This Row],[Costo Unit.]]</f>
        <v>1900</v>
      </c>
      <c r="G135" s="49">
        <f>C135-SUMIF(Ventas!D:D,"CURRY",Ventas!F:F)</f>
        <v>-6</v>
      </c>
    </row>
    <row r="136" spans="1:7" x14ac:dyDescent="0.25">
      <c r="A136" s="44" t="s">
        <v>100</v>
      </c>
      <c r="B136" s="49">
        <f>+COMPRAS!B136:B221</f>
        <v>3</v>
      </c>
      <c r="C136" s="49">
        <f>+InventarioTbl3[[#This Row],[Cantidad]]</f>
        <v>33</v>
      </c>
      <c r="D136" s="70">
        <f>+InventarioTbl3[[#This Row],[Costo Unit.]]</f>
        <v>2500</v>
      </c>
      <c r="E136" s="70">
        <v>8000</v>
      </c>
      <c r="F136" s="70">
        <f>+E136-InventarioTbl34[[#This Row],[Costo Unit.]]</f>
        <v>5500</v>
      </c>
      <c r="G136" s="49">
        <f>C136-SUMIF(Ventas!D:D,"LAVANDA",Ventas!F:F)</f>
        <v>10</v>
      </c>
    </row>
    <row r="137" spans="1:7" x14ac:dyDescent="0.25">
      <c r="A137" s="57" t="str">
        <f>+InventarioTbl3[[#This Row],[ESPECIE]]</f>
        <v>MENTA CUBANA</v>
      </c>
      <c r="B137" s="49">
        <f>+COMPRAS!B137:B222</f>
        <v>0</v>
      </c>
      <c r="C137" s="49">
        <f>+InventarioTbl3[[#This Row],[Cantidad]]</f>
        <v>5</v>
      </c>
      <c r="D137" s="70">
        <f>+InventarioTbl3[[#This Row],[Costo Unit.]]</f>
        <v>1100</v>
      </c>
      <c r="E137" s="70">
        <v>4000</v>
      </c>
      <c r="F137" s="70">
        <f>+E137-InventarioTbl34[[#This Row],[Costo Unit.]]</f>
        <v>2900</v>
      </c>
      <c r="G137" s="49">
        <f>C137-SUMIF(Ventas!D:D,"MENTA CUBANA",Ventas!F:F)</f>
        <v>4</v>
      </c>
    </row>
    <row r="138" spans="1:7" x14ac:dyDescent="0.25">
      <c r="A138" s="45" t="str">
        <f>+InventarioTbl3[[#This Row],[ESPECIE]]</f>
        <v>MENTA NUESTRA</v>
      </c>
      <c r="B138" s="49">
        <f>+COMPRAS!B138:B222</f>
        <v>3</v>
      </c>
      <c r="C138" s="49">
        <f>+InventarioTbl3[[#This Row],[Cantidad]]</f>
        <v>48</v>
      </c>
      <c r="D138" s="70">
        <f>+InventarioTbl3[[#This Row],[Costo Unit.]]</f>
        <v>1100</v>
      </c>
      <c r="E138" s="70">
        <v>3000</v>
      </c>
      <c r="F138" s="70">
        <f>+E138-InventarioTbl34[[#This Row],[Costo Unit.]]</f>
        <v>1900</v>
      </c>
      <c r="G138" s="49">
        <f>C138-SUMIF(Ventas!D:D,"MENTA NUESTRA",Ventas!F:F)</f>
        <v>47</v>
      </c>
    </row>
    <row r="139" spans="1:7" x14ac:dyDescent="0.25">
      <c r="A139" s="62" t="str">
        <f>+InventarioTbl3[[#This Row],[ESPECIE]]</f>
        <v>MENTA NEGRA</v>
      </c>
      <c r="B139" s="49">
        <f>+COMPRAS!B139:B223</f>
        <v>0</v>
      </c>
      <c r="C139" s="49">
        <f>+InventarioTbl3[[#This Row],[Cantidad]]</f>
        <v>12</v>
      </c>
      <c r="D139" s="70">
        <f>+InventarioTbl3[[#This Row],[Costo Unit.]]</f>
        <v>700</v>
      </c>
      <c r="E139" s="70">
        <v>3000</v>
      </c>
      <c r="F139" s="70">
        <f>+E139-InventarioTbl34[[#This Row],[Costo Unit.]]</f>
        <v>2300</v>
      </c>
      <c r="G139" s="49">
        <f>C139-SUMIF(Ventas!D:D,"MENTA NEGRA",Ventas!F:F)</f>
        <v>9</v>
      </c>
    </row>
    <row r="140" spans="1:7" x14ac:dyDescent="0.25">
      <c r="A140" s="44" t="s">
        <v>95</v>
      </c>
      <c r="B140" s="49">
        <f>+COMPRAS!B140:B223</f>
        <v>0.7</v>
      </c>
      <c r="C140" s="49">
        <f>+InventarioTbl3[[#This Row],[Cantidad]]</f>
        <v>4</v>
      </c>
      <c r="D140" s="70">
        <f>+InventarioTbl3[[#This Row],[Costo Unit.]]</f>
        <v>0</v>
      </c>
      <c r="E140" s="70">
        <v>2500</v>
      </c>
      <c r="F140" s="70">
        <f>+E140-InventarioTbl34[[#This Row],[Costo Unit.]]</f>
        <v>2500</v>
      </c>
      <c r="G140" s="49">
        <f>C140-SUMIF(Ventas!D:D,"OREGANO",Ventas!F:F)</f>
        <v>0</v>
      </c>
    </row>
    <row r="141" spans="1:7" x14ac:dyDescent="0.25">
      <c r="A141" s="57" t="str">
        <f>+InventarioTbl3[[#This Row],[ESPECIE]]</f>
        <v>POLEO</v>
      </c>
      <c r="B141" s="49"/>
      <c r="C141" s="49">
        <f>+InventarioTbl3[[#This Row],[Cantidad]]</f>
        <v>10</v>
      </c>
      <c r="D141" s="70">
        <f>+InventarioTbl3[[#This Row],[Costo Unit.]]</f>
        <v>700</v>
      </c>
      <c r="E141" s="70">
        <v>3000</v>
      </c>
      <c r="F141" s="70">
        <f>+E141-InventarioTbl34[[#This Row],[Costo Unit.]]</f>
        <v>2300</v>
      </c>
      <c r="G141" s="49">
        <f>C141-SUMIF(Ventas!D:D,"POLEO",Ventas!F:F)</f>
        <v>8</v>
      </c>
    </row>
    <row r="142" spans="1:7" x14ac:dyDescent="0.25">
      <c r="A142" s="44" t="s">
        <v>94</v>
      </c>
      <c r="B142" s="49">
        <f>+COMPRAS!B142:B224</f>
        <v>3</v>
      </c>
      <c r="C142" s="49">
        <f>+InventarioTbl3[[#This Row],[Cantidad]]</f>
        <v>15</v>
      </c>
      <c r="D142" s="70">
        <f>+InventarioTbl3[[#This Row],[Costo Unit.]]</f>
        <v>3500</v>
      </c>
      <c r="E142" s="70">
        <v>10000</v>
      </c>
      <c r="F142" s="70">
        <f>+E142-InventarioTbl34[[#This Row],[Costo Unit.]]</f>
        <v>6500</v>
      </c>
      <c r="G142" s="49">
        <f>C142-SUMIF(Ventas!D:D,"ROMERO",Ventas!F:F)</f>
        <v>9</v>
      </c>
    </row>
    <row r="143" spans="1:7" x14ac:dyDescent="0.25">
      <c r="A143" s="57" t="s">
        <v>190</v>
      </c>
      <c r="B143" s="49">
        <f>+COMPRAS!B143:B225</f>
        <v>0.7</v>
      </c>
      <c r="C143" s="49">
        <f>+InventarioTbl3[[#This Row],[Cantidad]]</f>
        <v>46</v>
      </c>
      <c r="D143" s="70">
        <f>+InventarioTbl3[[#This Row],[Costo Unit.]]</f>
        <v>1100</v>
      </c>
      <c r="E143" s="70">
        <v>3000</v>
      </c>
      <c r="F143" s="70">
        <f>+E143-InventarioTbl34[[#This Row],[Costo Unit.]]</f>
        <v>1900</v>
      </c>
      <c r="G143" s="49">
        <f>C143-SUMIF(Ventas!D:D,"ROMERO PEQUEÑO",Ventas!F:F)</f>
        <v>45</v>
      </c>
    </row>
    <row r="144" spans="1:7" x14ac:dyDescent="0.25">
      <c r="A144" s="44" t="s">
        <v>98</v>
      </c>
      <c r="B144" s="49">
        <f>+COMPRAS!B144:B226</f>
        <v>0</v>
      </c>
      <c r="C144" s="49">
        <f>+InventarioTbl3[[#This Row],[Cantidad]]</f>
        <v>13</v>
      </c>
      <c r="D144" s="70">
        <f>+InventarioTbl3[[#This Row],[Costo Unit.]]</f>
        <v>700</v>
      </c>
      <c r="E144" s="70">
        <v>3000</v>
      </c>
      <c r="F144" s="70">
        <f>+E144-InventarioTbl34[[#This Row],[Costo Unit.]]</f>
        <v>2300</v>
      </c>
      <c r="G144" s="49">
        <f>C144-SUMIF(Ventas!D:D,"RUDA",Ventas!F:F)</f>
        <v>7</v>
      </c>
    </row>
    <row r="145" spans="1:7" x14ac:dyDescent="0.25">
      <c r="A145" s="45" t="s">
        <v>292</v>
      </c>
      <c r="B145" s="49">
        <f>+COMPRAS!B145:B227</f>
        <v>2</v>
      </c>
      <c r="C145" s="49">
        <f>+InventarioTbl3[[#This Row],[Cantidad]]</f>
        <v>13</v>
      </c>
      <c r="D145" s="70">
        <f>+InventarioTbl3[[#This Row],[Costo Unit.]]</f>
        <v>4300</v>
      </c>
      <c r="E145" s="70">
        <v>8500</v>
      </c>
      <c r="F145" s="70">
        <f>+E145-InventarioTbl34[[#This Row],[Costo Unit.]]</f>
        <v>4200</v>
      </c>
      <c r="G145" s="49">
        <f>C145-SUMIF(Ventas!D:D,"SALVIA",Ventas!F:F)</f>
        <v>4</v>
      </c>
    </row>
    <row r="146" spans="1:7" x14ac:dyDescent="0.25">
      <c r="A146" s="44" t="s">
        <v>103</v>
      </c>
      <c r="B146" s="49">
        <f>+COMPRAS!B146:B228</f>
        <v>0</v>
      </c>
      <c r="C146" s="49">
        <f>+InventarioTbl3[[#This Row],[Cantidad]]</f>
        <v>20</v>
      </c>
      <c r="D146" s="70">
        <f>+InventarioTbl3[[#This Row],[Costo Unit.]]</f>
        <v>800</v>
      </c>
      <c r="E146" s="70">
        <v>3500</v>
      </c>
      <c r="F146" s="70">
        <f>+E146-InventarioTbl34[[#This Row],[Costo Unit.]]</f>
        <v>2700</v>
      </c>
      <c r="G146" s="49">
        <f>C146-SUMIF(Ventas!D:D,"STEVIA",Ventas!F:F)</f>
        <v>18</v>
      </c>
    </row>
    <row r="147" spans="1:7" x14ac:dyDescent="0.25">
      <c r="A147" s="45" t="s">
        <v>99</v>
      </c>
      <c r="B147" s="49">
        <f>+COMPRAS!B147:B229</f>
        <v>0.7</v>
      </c>
      <c r="C147" s="49">
        <f>+InventarioTbl3[[#This Row],[Cantidad]]</f>
        <v>5</v>
      </c>
      <c r="D147" s="70">
        <f>+InventarioTbl3[[#This Row],[Costo Unit.]]</f>
        <v>1100</v>
      </c>
      <c r="E147" s="70">
        <v>3000</v>
      </c>
      <c r="F147" s="70">
        <f>+E147-InventarioTbl34[[#This Row],[Costo Unit.]]</f>
        <v>1900</v>
      </c>
      <c r="G147" s="49">
        <f>C147-SUMIF(Ventas!D:D,"TOMILLO",Ventas!F:F)</f>
        <v>0</v>
      </c>
    </row>
    <row r="148" spans="1:7" x14ac:dyDescent="0.25">
      <c r="A148" s="37" t="s">
        <v>110</v>
      </c>
      <c r="B148" s="60"/>
      <c r="C148" s="60"/>
      <c r="D148" s="71"/>
      <c r="E148" s="71"/>
      <c r="F148" s="71"/>
      <c r="G148" s="60"/>
    </row>
    <row r="149" spans="1:7" x14ac:dyDescent="0.25">
      <c r="A149" s="44" t="s">
        <v>36</v>
      </c>
      <c r="B149" s="49">
        <f>+COMPRAS!B149:B231</f>
        <v>8</v>
      </c>
      <c r="C149" s="49">
        <f>+InventarioTbl3[[#This Row],[Cantidad]]</f>
        <v>10</v>
      </c>
      <c r="D149" s="70">
        <f>+InventarioTbl3[[#This Row],[Costo Unit.]]</f>
        <v>30000</v>
      </c>
      <c r="E149" s="70">
        <v>50000</v>
      </c>
      <c r="F149" s="70">
        <f>+E149-InventarioTbl34[[#This Row],[Costo Unit.]]</f>
        <v>20000</v>
      </c>
      <c r="G149" s="49">
        <f>C149-SUMIF(Ventas!D:D,"AREKA",Ventas!F:F)</f>
        <v>6</v>
      </c>
    </row>
    <row r="150" spans="1:7" x14ac:dyDescent="0.25">
      <c r="A150" s="44" t="s">
        <v>65</v>
      </c>
      <c r="B150" s="49">
        <f>+COMPRAS!B150:B232</f>
        <v>15</v>
      </c>
      <c r="C150" s="49">
        <f>+InventarioTbl3[[#This Row],[Cantidad]]</f>
        <v>24</v>
      </c>
      <c r="D150" s="70">
        <f>+InventarioTbl3[[#This Row],[Costo Unit.]]</f>
        <v>0</v>
      </c>
      <c r="E150" s="70">
        <v>40000</v>
      </c>
      <c r="F150" s="70">
        <f>+E150-InventarioTbl34[[#This Row],[Costo Unit.]]</f>
        <v>40000</v>
      </c>
      <c r="G150" s="49">
        <f>C150-SUMIF(Ventas!D:D,"CECA REVOLUTA",Ventas!F:F)</f>
        <v>24</v>
      </c>
    </row>
    <row r="151" spans="1:7" x14ac:dyDescent="0.25">
      <c r="A151" s="45" t="s">
        <v>66</v>
      </c>
      <c r="B151" s="49">
        <f>+COMPRAS!B151:B233</f>
        <v>0</v>
      </c>
      <c r="C151" s="49">
        <f>+InventarioTbl3[[#This Row],[Cantidad]]</f>
        <v>0</v>
      </c>
      <c r="D151" s="70">
        <f>+InventarioTbl3[[#This Row],[Costo Unit.]]</f>
        <v>0</v>
      </c>
      <c r="E151" s="70"/>
      <c r="F151" s="70">
        <f>+E151-InventarioTbl34[[#This Row],[Costo Unit.]]</f>
        <v>0</v>
      </c>
      <c r="G151" s="49">
        <f>C151-SUMIF(Ventas!D:D,"IMPERIAL",Ventas!F:F)</f>
        <v>0</v>
      </c>
    </row>
    <row r="152" spans="1:7" x14ac:dyDescent="0.25">
      <c r="A152" s="44" t="s">
        <v>68</v>
      </c>
      <c r="B152" s="49">
        <f>+COMPRAS!B152:B234</f>
        <v>10</v>
      </c>
      <c r="C152" s="49">
        <f>+InventarioTbl3[[#This Row],[Cantidad]]</f>
        <v>5</v>
      </c>
      <c r="D152" s="70">
        <f>+InventarioTbl3[[#This Row],[Costo Unit.]]</f>
        <v>0</v>
      </c>
      <c r="E152" s="70">
        <v>45000</v>
      </c>
      <c r="F152" s="70">
        <f>+E152-InventarioTbl34[[#This Row],[Costo Unit.]]</f>
        <v>45000</v>
      </c>
      <c r="G152" s="49">
        <f>C152-SUMIF(Ventas!D:D,"PALMA BAMBU",Ventas!F:F)</f>
        <v>5</v>
      </c>
    </row>
    <row r="153" spans="1:7" x14ac:dyDescent="0.25">
      <c r="A153" s="57" t="s">
        <v>174</v>
      </c>
      <c r="B153" s="49">
        <f>+COMPRAS!B153:B235</f>
        <v>5</v>
      </c>
      <c r="C153" s="49">
        <f>+InventarioTbl3[[#This Row],[Cantidad]]</f>
        <v>8</v>
      </c>
      <c r="D153" s="70">
        <f>+InventarioTbl3[[#This Row],[Costo Unit.]]</f>
        <v>8500</v>
      </c>
      <c r="E153" s="70">
        <v>22000</v>
      </c>
      <c r="F153" s="70">
        <f>+E153-InventarioTbl34[[#This Row],[Costo Unit.]]</f>
        <v>13500</v>
      </c>
      <c r="G153" s="49">
        <f>C153-SUMIF(Ventas!D:D,"PALMITO",Ventas!F:F)</f>
        <v>5</v>
      </c>
    </row>
    <row r="154" spans="1:7" x14ac:dyDescent="0.25">
      <c r="A154" s="45" t="s">
        <v>63</v>
      </c>
      <c r="B154" s="49">
        <f>+COMPRAS!B154:B236</f>
        <v>10</v>
      </c>
      <c r="C154" s="49">
        <f>+InventarioTbl3[[#This Row],[Cantidad]]</f>
        <v>3</v>
      </c>
      <c r="D154" s="70">
        <f>+InventarioTbl3[[#This Row],[Costo Unit.]]</f>
        <v>0</v>
      </c>
      <c r="E154" s="70">
        <v>50000</v>
      </c>
      <c r="F154" s="70">
        <f>+E154-InventarioTbl34[[#This Row],[Costo Unit.]]</f>
        <v>50000</v>
      </c>
      <c r="G154" s="49">
        <f>C154-SUMIF(Ventas!D:D,"PHOENIX ",Ventas!F:F)</f>
        <v>3</v>
      </c>
    </row>
    <row r="155" spans="1:7" x14ac:dyDescent="0.25">
      <c r="A155" s="44" t="s">
        <v>67</v>
      </c>
      <c r="B155" s="49">
        <f>+COMPRAS!B155:B237</f>
        <v>0</v>
      </c>
      <c r="C155" s="49">
        <f>+InventarioTbl3[[#This Row],[Cantidad]]</f>
        <v>0</v>
      </c>
      <c r="D155" s="70">
        <f>+InventarioTbl3[[#This Row],[Costo Unit.]]</f>
        <v>0</v>
      </c>
      <c r="E155" s="70"/>
      <c r="F155" s="70">
        <f>+E155-InventarioTbl34[[#This Row],[Costo Unit.]]</f>
        <v>0</v>
      </c>
      <c r="G155" s="49">
        <f>C155-SUMIF(Ventas!D:D,"PINDO",Ventas!F:F)</f>
        <v>0</v>
      </c>
    </row>
    <row r="156" spans="1:7" x14ac:dyDescent="0.25">
      <c r="A156" s="44" t="s">
        <v>74</v>
      </c>
      <c r="B156" s="49">
        <f>+COMPRAS!B156:B238</f>
        <v>8</v>
      </c>
      <c r="C156" s="49">
        <f>+InventarioTbl3[[#This Row],[Cantidad]]</f>
        <v>5</v>
      </c>
      <c r="D156" s="70">
        <f>+InventarioTbl3[[#This Row],[Costo Unit.]]</f>
        <v>12000</v>
      </c>
      <c r="E156" s="70">
        <v>35000</v>
      </c>
      <c r="F156" s="70">
        <f>+E156-InventarioTbl34[[#This Row],[Costo Unit.]]</f>
        <v>23000</v>
      </c>
      <c r="G156" s="49">
        <f>C156-SUMIF(Ventas!D:D,"SEAFORTIA",Ventas!F:F)</f>
        <v>4</v>
      </c>
    </row>
    <row r="157" spans="1:7" x14ac:dyDescent="0.25">
      <c r="A157" s="45" t="s">
        <v>64</v>
      </c>
      <c r="B157" s="49">
        <f>+COMPRAS!B157:B239</f>
        <v>30</v>
      </c>
      <c r="C157" s="49">
        <f>+InventarioTbl3[[#This Row],[Cantidad]]</f>
        <v>1</v>
      </c>
      <c r="D157" s="70">
        <f>+InventarioTbl3[[#This Row],[Costo Unit.]]</f>
        <v>0</v>
      </c>
      <c r="E157" s="70">
        <v>45000</v>
      </c>
      <c r="F157" s="70">
        <f>+E157-InventarioTbl34[[#This Row],[Costo Unit.]]</f>
        <v>45000</v>
      </c>
      <c r="G157" s="49">
        <f>C157-SUMIF(Ventas!D:D,"WASHINGTONIA",Ventas!F:F)</f>
        <v>1</v>
      </c>
    </row>
    <row r="158" spans="1:7" x14ac:dyDescent="0.25">
      <c r="A158" s="37" t="s">
        <v>505</v>
      </c>
      <c r="B158" s="60"/>
      <c r="C158" s="60"/>
      <c r="D158" s="71"/>
      <c r="E158" s="71"/>
      <c r="F158" s="71"/>
      <c r="G158" s="60"/>
    </row>
    <row r="159" spans="1:7" x14ac:dyDescent="0.25">
      <c r="A159" s="44" t="s">
        <v>205</v>
      </c>
      <c r="B159" s="49">
        <f>+COMPRAS!B159:B241</f>
        <v>3</v>
      </c>
      <c r="C159" s="49">
        <f>+InventarioTbl3[[#This Row],[Cantidad]]</f>
        <v>1</v>
      </c>
      <c r="D159" s="70">
        <f>+InventarioTbl3[[#This Row],[Costo Unit.]]</f>
        <v>1500</v>
      </c>
      <c r="E159" s="70">
        <v>10000</v>
      </c>
      <c r="F159" s="70">
        <f>+E159-InventarioTbl34[[#This Row],[Costo Unit.]]</f>
        <v>8500</v>
      </c>
      <c r="G159" s="49">
        <f>C159-SUMIF(Ventas!D:D,"AMARANTHUS",Ventas!F:F)</f>
        <v>1</v>
      </c>
    </row>
    <row r="160" spans="1:7" x14ac:dyDescent="0.25">
      <c r="A160" s="57" t="str">
        <f>+InventarioTbl3[[#This Row],[ESPECIE]]</f>
        <v>ARALIA ELEGANTISIMA</v>
      </c>
      <c r="B160" s="49"/>
      <c r="C160" s="49">
        <f>+InventarioTbl3[[#This Row],[Cantidad]]</f>
        <v>4</v>
      </c>
      <c r="D160" s="70">
        <f>+InventarioTbl3[[#This Row],[Costo Unit.]]</f>
        <v>3000</v>
      </c>
      <c r="E160" s="70">
        <v>10000</v>
      </c>
      <c r="F160" s="70">
        <f>+E160-InventarioTbl34[[#This Row],[Costo Unit.]]</f>
        <v>7000</v>
      </c>
      <c r="G160" s="49">
        <f>C160-SUMIF(Ventas!D:D,"ARALIA ELEGANTISIMA",Ventas!F:F)</f>
        <v>3</v>
      </c>
    </row>
    <row r="161" spans="1:8" x14ac:dyDescent="0.25">
      <c r="A161" s="57" t="str">
        <f>+InventarioTbl3[[#This Row],[ESPECIE]]</f>
        <v>ARALIA GERALIO</v>
      </c>
      <c r="B161" s="49"/>
      <c r="C161" s="49">
        <f>+InventarioTbl3[[#This Row],[Cantidad]]</f>
        <v>4</v>
      </c>
      <c r="D161" s="70">
        <f>+InventarioTbl3[[#This Row],[Costo Unit.]]</f>
        <v>4000</v>
      </c>
      <c r="E161" s="70">
        <v>15000</v>
      </c>
      <c r="F161" s="70">
        <f>+E161-InventarioTbl34[[#This Row],[Costo Unit.]]</f>
        <v>11000</v>
      </c>
      <c r="G161" s="49">
        <f>C161-SUMIF(Ventas!D:D,"ARALIA GERALIO",Ventas!F:F)</f>
        <v>4</v>
      </c>
    </row>
    <row r="162" spans="1:8" x14ac:dyDescent="0.25">
      <c r="A162" s="57" t="str">
        <f>+InventarioTbl3[[#This Row],[ESPECIE]]</f>
        <v>ARALIA VARIEGADA</v>
      </c>
      <c r="B162" s="49"/>
      <c r="C162" s="49">
        <f>+InventarioTbl3[[#This Row],[Cantidad]]</f>
        <v>5</v>
      </c>
      <c r="D162" s="70">
        <f>+InventarioTbl3[[#This Row],[Costo Unit.]]</f>
        <v>5000</v>
      </c>
      <c r="E162" s="70">
        <v>10000</v>
      </c>
      <c r="F162" s="70">
        <f>+E162-InventarioTbl34[[#This Row],[Costo Unit.]]</f>
        <v>5000</v>
      </c>
      <c r="G162" s="49">
        <f>C162-SUMIF(Ventas!D:D,"ARALIA  VARIEGADA",Ventas!F:F)</f>
        <v>5</v>
      </c>
      <c r="H162">
        <v>3</v>
      </c>
    </row>
    <row r="163" spans="1:8" x14ac:dyDescent="0.25">
      <c r="A163" s="57" t="str">
        <f>+InventarioTbl3[[#This Row],[ESPECIE]]</f>
        <v>AZALEA</v>
      </c>
      <c r="B163" s="49">
        <f>+COMPRAS!B163:B242</f>
        <v>0</v>
      </c>
      <c r="C163" s="49">
        <f>+InventarioTbl3[[#This Row],[Cantidad]]</f>
        <v>9</v>
      </c>
      <c r="D163" s="70">
        <f>+InventarioTbl3[[#This Row],[Costo Unit.]]</f>
        <v>5500</v>
      </c>
      <c r="E163" s="70">
        <v>9000</v>
      </c>
      <c r="F163" s="70">
        <f>+E163-InventarioTbl34[[#This Row],[Costo Unit.]]</f>
        <v>3500</v>
      </c>
      <c r="G163" s="49">
        <f>C163-SUMIF(Ventas!D:D,"AZALEA",Ventas!F:F)</f>
        <v>0</v>
      </c>
    </row>
    <row r="164" spans="1:8" x14ac:dyDescent="0.25">
      <c r="A164" s="57" t="str">
        <f>+InventarioTbl3[[#This Row],[ESPECIE]]</f>
        <v>BUXUS</v>
      </c>
      <c r="B164" s="49">
        <f>+COMPRAS!B163:B242</f>
        <v>10</v>
      </c>
      <c r="C164" s="49">
        <f>+InventarioTbl3[[#This Row],[Cantidad]]</f>
        <v>23</v>
      </c>
      <c r="D164" s="70">
        <f>+InventarioTbl3[[#This Row],[Costo Unit.]]</f>
        <v>3000</v>
      </c>
      <c r="E164" s="70" t="s">
        <v>538</v>
      </c>
      <c r="F164" s="70">
        <f>3000-10000</f>
        <v>-7000</v>
      </c>
      <c r="G164" s="49">
        <f>C164-SUMIF(Ventas!D:D,"BUXUS",Ventas!F:F)</f>
        <v>16</v>
      </c>
    </row>
    <row r="165" spans="1:8" x14ac:dyDescent="0.25">
      <c r="A165" s="57" t="str">
        <f>+InventarioTbl3[[#This Row],[ESPECIE]]</f>
        <v>BUXUS TERRON</v>
      </c>
      <c r="B165" s="49"/>
      <c r="C165" s="49">
        <f>+InventarioTbl3[[#This Row],[Cantidad]]</f>
        <v>2</v>
      </c>
      <c r="D165" s="70">
        <f>+InventarioTbl3[[#This Row],[Costo Unit.]]</f>
        <v>62000</v>
      </c>
      <c r="E165" s="70">
        <v>150000</v>
      </c>
      <c r="F165" s="70">
        <f>+E165-InventarioTbl34[[#This Row],[Costo Unit.]]</f>
        <v>88000</v>
      </c>
      <c r="G165" s="49">
        <f>C165-SUMIF(Ventas!D:D,"BUXUS TERRON",Ventas!F:F)</f>
        <v>2</v>
      </c>
    </row>
    <row r="166" spans="1:8" x14ac:dyDescent="0.25">
      <c r="A166" s="57" t="str">
        <f>+InventarioTbl3[[#This Row],[ESPECIE]]</f>
        <v>CLERODENDRO</v>
      </c>
      <c r="B166" s="49">
        <f>+COMPRAS!B164:B243</f>
        <v>0</v>
      </c>
      <c r="C166" s="49">
        <f>+InventarioTbl3[[#This Row],[Cantidad]]</f>
        <v>17</v>
      </c>
      <c r="D166" s="70">
        <f>+InventarioTbl3[[#This Row],[Costo Unit.]]</f>
        <v>3000</v>
      </c>
      <c r="E166" s="70">
        <v>9000</v>
      </c>
      <c r="F166" s="70">
        <f>+E166-InventarioTbl34[[#This Row],[Costo Unit.]]</f>
        <v>6000</v>
      </c>
      <c r="G166" s="49">
        <f>C166-SUMIF(Ventas!D:D,"CLERODENDRO",Ventas!F:F)</f>
        <v>17</v>
      </c>
    </row>
    <row r="167" spans="1:8" x14ac:dyDescent="0.25">
      <c r="A167" s="57" t="str">
        <f>+InventarioTbl3[[#This Row],[ESPECIE]]</f>
        <v>CAMPANITA PLATEADA (Convolvulus)</v>
      </c>
      <c r="B167" s="49">
        <f>+COMPRAS!B164:B243</f>
        <v>0</v>
      </c>
      <c r="C167" s="49">
        <f>+InventarioTbl3[[#This Row],[Cantidad]]</f>
        <v>29</v>
      </c>
      <c r="D167" s="70">
        <f>+InventarioTbl3[[#This Row],[Costo Unit.]]</f>
        <v>3500</v>
      </c>
      <c r="E167" s="70">
        <v>7000</v>
      </c>
      <c r="F167" s="70">
        <f>+E167-InventarioTbl34[[#This Row],[Costo Unit.]]</f>
        <v>3500</v>
      </c>
      <c r="G167" s="49">
        <f>C167-SUMIF(Ventas!D:D,"CAMPANITA PLATEADA",Ventas!F:F)</f>
        <v>12</v>
      </c>
    </row>
    <row r="168" spans="1:8" x14ac:dyDescent="0.25">
      <c r="A168" s="45" t="s">
        <v>108</v>
      </c>
      <c r="B168" s="49">
        <f>+COMPRAS!B168:B243</f>
        <v>3</v>
      </c>
      <c r="C168" s="49">
        <f>+InventarioTbl3[[#This Row],[Cantidad]]</f>
        <v>10</v>
      </c>
      <c r="D168" s="70">
        <f>+InventarioTbl3[[#This Row],[Costo Unit.]]</f>
        <v>1500</v>
      </c>
      <c r="E168" s="70">
        <v>5000</v>
      </c>
      <c r="F168" s="70">
        <f>+E168-InventarioTbl34[[#This Row],[Costo Unit.]]</f>
        <v>3500</v>
      </c>
      <c r="G168" s="49">
        <f>C168-SUMIF(Ventas!D:D,"COLEUS",Ventas!F:F)</f>
        <v>9</v>
      </c>
    </row>
    <row r="169" spans="1:8" x14ac:dyDescent="0.25">
      <c r="A169" s="62" t="str">
        <f>+InventarioTbl3[[#This Row],[ESPECIE]]</f>
        <v>CRATAEGUS</v>
      </c>
      <c r="B169" s="49"/>
      <c r="C169" s="49">
        <f>+InventarioTbl3[[#This Row],[Cantidad]]</f>
        <v>5</v>
      </c>
      <c r="D169" s="70">
        <f>+InventarioTbl3[[#This Row],[Costo Unit.]]</f>
        <v>4500</v>
      </c>
      <c r="E169" s="70">
        <v>10000</v>
      </c>
      <c r="F169" s="70">
        <f>+E169-InventarioTbl34[[#This Row],[Costo Unit.]]</f>
        <v>5500</v>
      </c>
      <c r="G169" s="49">
        <f>C169-SUMIF(Ventas!D:D,"CRATAEUS",Ventas!F:F)</f>
        <v>5</v>
      </c>
    </row>
    <row r="170" spans="1:8" x14ac:dyDescent="0.25">
      <c r="A170" s="45" t="s">
        <v>197</v>
      </c>
      <c r="B170" s="49">
        <f>+COMPRAS!B170:B244</f>
        <v>3</v>
      </c>
      <c r="C170" s="49">
        <f>+InventarioTbl3[[#This Row],[Cantidad]]</f>
        <v>4</v>
      </c>
      <c r="D170" s="70">
        <f>+InventarioTbl3[[#This Row],[Costo Unit.]]</f>
        <v>4000</v>
      </c>
      <c r="E170" s="70">
        <v>17000</v>
      </c>
      <c r="F170" s="70">
        <f>+E170-InventarioTbl34[[#This Row],[Costo Unit.]]</f>
        <v>13000</v>
      </c>
      <c r="G170" s="49">
        <f>C170-SUMIF(Ventas!D:D,"CROTO GOLD STAR",Ventas!F:F)</f>
        <v>3</v>
      </c>
    </row>
    <row r="171" spans="1:8" x14ac:dyDescent="0.25">
      <c r="A171" s="45" t="s">
        <v>229</v>
      </c>
      <c r="B171" s="49">
        <f>+COMPRAS!B171:B245</f>
        <v>5</v>
      </c>
      <c r="C171" s="49">
        <f>+InventarioTbl3[[#This Row],[Cantidad]]</f>
        <v>9</v>
      </c>
      <c r="D171" s="70">
        <f>+InventarioTbl3[[#This Row],[Costo Unit.]]</f>
        <v>9600</v>
      </c>
      <c r="E171" s="70">
        <v>16000</v>
      </c>
      <c r="F171" s="70">
        <f>+E171-InventarioTbl34[[#This Row],[Costo Unit.]]</f>
        <v>6400</v>
      </c>
      <c r="G171" s="49">
        <f>C171-SUMIF(Ventas!D:D,"CROTON",Ventas!F:F)</f>
        <v>4</v>
      </c>
    </row>
    <row r="172" spans="1:8" x14ac:dyDescent="0.25">
      <c r="A172" s="44" t="s">
        <v>228</v>
      </c>
      <c r="B172" s="49">
        <f>+COMPRAS!B172:B246</f>
        <v>3</v>
      </c>
      <c r="C172" s="49">
        <f>+InventarioTbl3[[#This Row],[Cantidad]]</f>
        <v>3</v>
      </c>
      <c r="D172" s="70">
        <f>+InventarioTbl3[[#This Row],[Costo Unit.]]</f>
        <v>8400</v>
      </c>
      <c r="E172" s="70">
        <v>12000</v>
      </c>
      <c r="F172" s="70">
        <f>+E172-InventarioTbl34[[#This Row],[Costo Unit.]]</f>
        <v>3600</v>
      </c>
      <c r="G172" s="49">
        <f>C172-SUMIF(Ventas!D:D,"CROTO PETRA",Ventas!F:F)</f>
        <v>1</v>
      </c>
    </row>
    <row r="173" spans="1:8" x14ac:dyDescent="0.25">
      <c r="A173" s="44" t="s">
        <v>49</v>
      </c>
      <c r="B173" s="49">
        <f>+COMPRAS!B173:B247</f>
        <v>3</v>
      </c>
      <c r="C173" s="49">
        <f>+InventarioTbl3[[#This Row],[Cantidad]]</f>
        <v>3</v>
      </c>
      <c r="D173" s="70">
        <f>+InventarioTbl3[[#This Row],[Costo Unit.]]</f>
        <v>11000</v>
      </c>
      <c r="E173" s="70">
        <v>16000</v>
      </c>
      <c r="F173" s="70">
        <f>+E173-InventarioTbl34[[#This Row],[Costo Unit.]]</f>
        <v>5000</v>
      </c>
      <c r="G173" s="49">
        <f>C173-SUMIF(Ventas!D:D,"CROTO LENGUA DE FUEGO",Ventas!F:F)</f>
        <v>2</v>
      </c>
    </row>
    <row r="174" spans="1:8" x14ac:dyDescent="0.25">
      <c r="A174" s="45" t="s">
        <v>43</v>
      </c>
      <c r="B174" s="49">
        <f>+COMPRAS!B174:B248</f>
        <v>3</v>
      </c>
      <c r="C174" s="49">
        <f>+InventarioTbl3[[#This Row],[Cantidad]]</f>
        <v>2</v>
      </c>
      <c r="D174" s="70">
        <f>+InventarioTbl3[[#This Row],[Costo Unit.]]</f>
        <v>8400</v>
      </c>
      <c r="E174" s="70">
        <v>12000</v>
      </c>
      <c r="F174" s="70">
        <f>+E174-InventarioTbl34[[#This Row],[Costo Unit.]]</f>
        <v>3600</v>
      </c>
      <c r="G174" s="49">
        <f>C174-SUMIF(Ventas!D:D,"CROTO TIRABUZON",Ventas!F:F)</f>
        <v>1</v>
      </c>
    </row>
    <row r="175" spans="1:8" x14ac:dyDescent="0.25">
      <c r="A175" s="62" t="s">
        <v>230</v>
      </c>
      <c r="B175" s="49">
        <f>+COMPRAS!B175:B249</f>
        <v>1</v>
      </c>
      <c r="C175" s="49">
        <f>+InventarioTbl3[[#This Row],[Cantidad]]</f>
        <v>1</v>
      </c>
      <c r="D175" s="70">
        <f>+InventarioTbl3[[#This Row],[Costo Unit.]]</f>
        <v>0</v>
      </c>
      <c r="E175" s="70">
        <v>8000</v>
      </c>
      <c r="F175" s="70">
        <f>+E175-InventarioTbl34[[#This Row],[Costo Unit.]]</f>
        <v>8000</v>
      </c>
      <c r="G175" s="49">
        <f>C175-SUMIF(Ventas!D:D,"CROTO ASIATICO",Ventas!F:F)</f>
        <v>1</v>
      </c>
    </row>
    <row r="176" spans="1:8" x14ac:dyDescent="0.25">
      <c r="A176" s="45" t="s">
        <v>232</v>
      </c>
      <c r="B176" s="49">
        <f>+COMPRAS!B176:B249</f>
        <v>2</v>
      </c>
      <c r="C176" s="49">
        <f>+InventarioTbl3[[#This Row],[Cantidad]]</f>
        <v>11</v>
      </c>
      <c r="D176" s="70">
        <f>+InventarioTbl3[[#This Row],[Costo Unit.]]</f>
        <v>0</v>
      </c>
      <c r="E176" s="70">
        <v>8000</v>
      </c>
      <c r="F176" s="70">
        <f>+E176-InventarioTbl34[[#This Row],[Costo Unit.]]</f>
        <v>8000</v>
      </c>
      <c r="G176" s="49">
        <f>C176-SUMIF(Ventas!D:D,"DURANTA",Ventas!F:F)</f>
        <v>10</v>
      </c>
    </row>
    <row r="177" spans="1:7" x14ac:dyDescent="0.25">
      <c r="A177" s="45" t="s">
        <v>91</v>
      </c>
      <c r="B177" s="49">
        <f>+COMPRAS!B177:B250</f>
        <v>0</v>
      </c>
      <c r="C177" s="49">
        <f>+InventarioTbl3[[#This Row],[Cantidad]]</f>
        <v>1</v>
      </c>
      <c r="D177" s="70">
        <f>+InventarioTbl3[[#This Row],[Costo Unit.]]</f>
        <v>0</v>
      </c>
      <c r="E177" s="70">
        <v>10000</v>
      </c>
      <c r="F177" s="70">
        <f>+E177-InventarioTbl34[[#This Row],[Costo Unit.]]</f>
        <v>10000</v>
      </c>
      <c r="G177" s="49">
        <f>C177-SUMIF(Ventas!D:D,"DURANTA ERECTA",Ventas!F:F)</f>
        <v>1</v>
      </c>
    </row>
    <row r="178" spans="1:7" x14ac:dyDescent="0.25">
      <c r="A178" s="44" t="s">
        <v>92</v>
      </c>
      <c r="B178" s="49">
        <f>+COMPRAS!B178:B251</f>
        <v>0</v>
      </c>
      <c r="C178" s="49">
        <f>+InventarioTbl3[[#This Row],[Cantidad]]</f>
        <v>0</v>
      </c>
      <c r="D178" s="70">
        <f>+InventarioTbl3[[#This Row],[Costo Unit.]]</f>
        <v>0</v>
      </c>
      <c r="E178" s="70"/>
      <c r="F178" s="70">
        <f>+E178-InventarioTbl34[[#This Row],[Costo Unit.]]</f>
        <v>0</v>
      </c>
      <c r="G178" s="49">
        <f>C178-SUMIF(Ventas!D:D,"DURANTA VAIEGADA",Ventas!F:F)</f>
        <v>0</v>
      </c>
    </row>
    <row r="179" spans="1:7" x14ac:dyDescent="0.25">
      <c r="A179" s="44" t="s">
        <v>90</v>
      </c>
      <c r="B179" s="49">
        <f>+COMPRAS!B179:B252</f>
        <v>0</v>
      </c>
      <c r="C179" s="49">
        <f>+InventarioTbl3[[#This Row],[Cantidad]]</f>
        <v>0</v>
      </c>
      <c r="D179" s="70">
        <f>+InventarioTbl3[[#This Row],[Costo Unit.]]</f>
        <v>0</v>
      </c>
      <c r="E179" s="70"/>
      <c r="F179" s="70">
        <f>+E179-InventarioTbl34[[#This Row],[Costo Unit.]]</f>
        <v>0</v>
      </c>
      <c r="G179" s="49">
        <f>C179-SUMIF(Ventas!D:D,"DURANTA SP",Ventas!F:F)</f>
        <v>0</v>
      </c>
    </row>
    <row r="180" spans="1:7" x14ac:dyDescent="0.25">
      <c r="A180" s="57" t="str">
        <f>+InventarioTbl3[[#This Row],[ESPECIE]]</f>
        <v>ENAMORADA DEL MURO</v>
      </c>
      <c r="B180" s="49">
        <v>0</v>
      </c>
      <c r="C180" s="49">
        <f>+InventarioTbl3[[#This Row],[Cantidad]]</f>
        <v>10</v>
      </c>
      <c r="D180" s="70">
        <f>+InventarioTbl3[[#This Row],[Costo Unit.]]</f>
        <v>0</v>
      </c>
      <c r="E180" s="70">
        <v>6000</v>
      </c>
      <c r="F180" s="70">
        <f>+E180-InventarioTbl34[[#This Row],[Costo Unit.]]</f>
        <v>6000</v>
      </c>
      <c r="G180" s="49">
        <f>C180-SUMIF(Ventas!D:D,"ENAMORADA DEL MURO",Ventas!F:F)</f>
        <v>10</v>
      </c>
    </row>
    <row r="181" spans="1:7" x14ac:dyDescent="0.25">
      <c r="A181" s="57" t="str">
        <f>+InventarioTbl3[[#This Row],[ESPECIE]]</f>
        <v>ENAMORADA DEL MURO VARIEGADA</v>
      </c>
      <c r="B181" s="49"/>
      <c r="C181" s="49">
        <f>+InventarioTbl3[[#This Row],[Cantidad]]</f>
        <v>5</v>
      </c>
      <c r="D181" s="70">
        <f>+InventarioTbl3[[#This Row],[Costo Unit.]]</f>
        <v>2500</v>
      </c>
      <c r="E181" s="70">
        <v>6000</v>
      </c>
      <c r="F181" s="70">
        <f>+E181-InventarioTbl34[[#This Row],[Costo Unit.]]</f>
        <v>3500</v>
      </c>
      <c r="G181" s="49">
        <f>C181-SUMIF(Ventas!D:D,"ENAMORADA VARIEGADA",Ventas!F:F)</f>
        <v>5</v>
      </c>
    </row>
    <row r="182" spans="1:7" x14ac:dyDescent="0.25">
      <c r="A182" s="57" t="str">
        <f>+InventarioTbl3[[#This Row],[ESPECIE]]</f>
        <v>ESTRELLA FEDERAL</v>
      </c>
      <c r="B182" s="49"/>
      <c r="C182" s="49">
        <f>+InventarioTbl3[[#This Row],[Cantidad]]</f>
        <v>5</v>
      </c>
      <c r="D182" s="70">
        <f>+InventarioTbl3[[#This Row],[Costo Unit.]]</f>
        <v>12000</v>
      </c>
      <c r="E182" s="70">
        <v>22000</v>
      </c>
      <c r="F182" s="70">
        <f>+E182-InventarioTbl34[[#This Row],[Costo Unit.]]</f>
        <v>10000</v>
      </c>
      <c r="G182" s="49">
        <f>C182-SUMIF(Ventas!D:D,"ESTRELLA FEDERAL",Ventas!F:F)</f>
        <v>5</v>
      </c>
    </row>
    <row r="183" spans="1:7" x14ac:dyDescent="0.25">
      <c r="A183" s="57" t="str">
        <f>+InventarioTbl3[[#This Row],[ESPECIE]]</f>
        <v>EUPHORBIA VARIEGATA</v>
      </c>
      <c r="B183" s="49">
        <v>1</v>
      </c>
      <c r="C183" s="49">
        <f>+InventarioTbl3[[#This Row],[Cantidad]]</f>
        <v>4</v>
      </c>
      <c r="D183" s="70">
        <f>+InventarioTbl3[[#This Row],[Costo Unit.]]</f>
        <v>3000</v>
      </c>
      <c r="E183" s="70">
        <v>15000</v>
      </c>
      <c r="F183" s="70">
        <f>+E183-InventarioTbl34[[#This Row],[Costo Unit.]]</f>
        <v>12000</v>
      </c>
      <c r="G183" s="49">
        <f>C183-SUMIF(Ventas!D:D,"EUPHORBIA VARIEGATA",Ventas!F:F)</f>
        <v>2</v>
      </c>
    </row>
    <row r="184" spans="1:7" x14ac:dyDescent="0.25">
      <c r="A184" s="57" t="str">
        <f>+InventarioTbl3[[#This Row],[ESPECIE]]</f>
        <v>LANTANA</v>
      </c>
      <c r="B184" s="49">
        <v>0</v>
      </c>
      <c r="C184" s="49">
        <f>+InventarioTbl3[[#This Row],[Cantidad]]</f>
        <v>35</v>
      </c>
      <c r="D184" s="70">
        <f>+InventarioTbl3[[#This Row],[Costo Unit.]]</f>
        <v>2500</v>
      </c>
      <c r="E184" s="70">
        <v>6000</v>
      </c>
      <c r="F184" s="70">
        <f>+E184-InventarioTbl34[[#This Row],[Costo Unit.]]</f>
        <v>3500</v>
      </c>
      <c r="G184" s="49">
        <f>C184-SUMIF(Ventas!D:D,"LANTANA",Ventas!F:F)</f>
        <v>27</v>
      </c>
    </row>
    <row r="185" spans="1:7" x14ac:dyDescent="0.25">
      <c r="A185" s="57" t="str">
        <f>+InventarioTbl3[[#This Row],[ESPECIE]]</f>
        <v>MADRE SELVA</v>
      </c>
      <c r="B185" s="49"/>
      <c r="C185" s="49">
        <f>+InventarioTbl3[[#This Row],[Cantidad]]</f>
        <v>10</v>
      </c>
      <c r="D185" s="70">
        <f>+InventarioTbl3[[#This Row],[Costo Unit.]]</f>
        <v>3000</v>
      </c>
      <c r="E185" s="70">
        <v>7000</v>
      </c>
      <c r="F185" s="70">
        <f>+E185-InventarioTbl34[[#This Row],[Costo Unit.]]</f>
        <v>4000</v>
      </c>
      <c r="G185" s="49">
        <f>C185-SUMIF(Ventas!D:D,"MADRE SELVA",Ventas!F:F)</f>
        <v>9</v>
      </c>
    </row>
    <row r="186" spans="1:7" x14ac:dyDescent="0.25">
      <c r="A186" s="57" t="str">
        <f>+InventarioTbl3[[#This Row],[ESPECIE]]</f>
        <v>OLEO TEXANO</v>
      </c>
      <c r="B186" s="49"/>
      <c r="C186" s="49">
        <f>+InventarioTbl3[[#This Row],[Cantidad]]</f>
        <v>20</v>
      </c>
      <c r="D186" s="70">
        <f>+InventarioTbl3[[#This Row],[Costo Unit.]]</f>
        <v>3000</v>
      </c>
      <c r="E186" s="70">
        <v>12000</v>
      </c>
      <c r="F186" s="70">
        <f>+E186-InventarioTbl34[[#This Row],[Costo Unit.]]</f>
        <v>9000</v>
      </c>
      <c r="G186" s="49">
        <f>C186-SUMIF(Ventas!D:D,"OLEO TEXANO",Ventas!F:F)</f>
        <v>20</v>
      </c>
    </row>
    <row r="187" spans="1:7" x14ac:dyDescent="0.25">
      <c r="A187" s="44" t="s">
        <v>106</v>
      </c>
      <c r="B187" s="49">
        <f>+COMPRAS!B187:B253</f>
        <v>3</v>
      </c>
      <c r="C187" s="49">
        <f>+InventarioTbl3[[#This Row],[Cantidad]]</f>
        <v>8</v>
      </c>
      <c r="D187" s="70">
        <f>+InventarioTbl3[[#This Row],[Costo Unit.]]</f>
        <v>3000</v>
      </c>
      <c r="E187" s="70">
        <v>15000</v>
      </c>
      <c r="F187" s="70">
        <f>+E187-InventarioTbl34[[#This Row],[Costo Unit.]]</f>
        <v>12000</v>
      </c>
      <c r="G187" s="49">
        <f>C187-SUMIF(Ventas!D:D,"PALO DE AGUA",Ventas!F:F)</f>
        <v>7</v>
      </c>
    </row>
    <row r="188" spans="1:7" x14ac:dyDescent="0.25">
      <c r="A188" s="57" t="str">
        <f>+InventarioTbl3[[#This Row],[ESPECIE]]</f>
        <v>POLIGALA</v>
      </c>
      <c r="B188" s="49">
        <f>+COMPRAS!B188:B254</f>
        <v>0</v>
      </c>
      <c r="C188" s="49">
        <f>+InventarioTbl3[[#This Row],[Cantidad]]</f>
        <v>20</v>
      </c>
      <c r="D188" s="70">
        <f>+InventarioTbl3[[#This Row],[Costo Unit.]]</f>
        <v>3000</v>
      </c>
      <c r="E188" s="70">
        <v>7000</v>
      </c>
      <c r="F188" s="70">
        <f>+E188-InventarioTbl34[[#This Row],[Costo Unit.]]</f>
        <v>4000</v>
      </c>
      <c r="G188" s="49">
        <f>C188-SUMIF(Ventas!D:D,"POLIGALA",Ventas!F:F)</f>
        <v>10</v>
      </c>
    </row>
    <row r="189" spans="1:7" x14ac:dyDescent="0.25">
      <c r="A189" s="57" t="str">
        <f>+InventarioTbl3[[#This Row],[ESPECIE]]</f>
        <v>PERESKIA ACULEATA</v>
      </c>
      <c r="B189" s="49">
        <v>0</v>
      </c>
      <c r="C189" s="49">
        <f>+InventarioTbl3[[#This Row],[Cantidad]]</f>
        <v>1</v>
      </c>
      <c r="D189" s="70">
        <f>+InventarioTbl3[[#This Row],[Costo Unit.]]</f>
        <v>5000</v>
      </c>
      <c r="E189" s="70">
        <v>15000</v>
      </c>
      <c r="F189" s="70">
        <f>+E189-InventarioTbl34[[#This Row],[Costo Unit.]]</f>
        <v>10000</v>
      </c>
      <c r="G189" s="49">
        <f>C189-SUMIF(Ventas!D:D,"PERESKIA",Ventas!F:F)</f>
        <v>1</v>
      </c>
    </row>
    <row r="190" spans="1:7" x14ac:dyDescent="0.25">
      <c r="A190" s="57" t="str">
        <f>+InventarioTbl3[[#This Row],[ESPECIE]]</f>
        <v>ROSA</v>
      </c>
      <c r="B190" s="49">
        <v>1</v>
      </c>
      <c r="C190" s="49">
        <f>+InventarioTbl3[[#This Row],[Cantidad]]</f>
        <v>6</v>
      </c>
      <c r="D190" s="70">
        <f>+InventarioTbl3[[#This Row],[Costo Unit.]]</f>
        <v>15000</v>
      </c>
      <c r="E190" s="70">
        <v>45000</v>
      </c>
      <c r="F190" s="70">
        <f>+E190-InventarioTbl34[[#This Row],[Costo Unit.]]</f>
        <v>30000</v>
      </c>
      <c r="G190" s="49">
        <f>C190-SUMIF(Ventas!D:D,"ROSA",Ventas!F:F)</f>
        <v>4</v>
      </c>
    </row>
    <row r="191" spans="1:7" x14ac:dyDescent="0.25">
      <c r="A191" s="57" t="str">
        <f>+InventarioTbl3[[#This Row],[ESPECIE]]</f>
        <v>ROSA AISBERG</v>
      </c>
      <c r="B191" s="49"/>
      <c r="C191" s="49">
        <f>+InventarioTbl3[[#This Row],[Cantidad]]</f>
        <v>6</v>
      </c>
      <c r="D191" s="70">
        <f>+InventarioTbl3[[#This Row],[Costo Unit.]]</f>
        <v>10000</v>
      </c>
      <c r="E191" s="70">
        <v>15000</v>
      </c>
      <c r="F191" s="70">
        <f>+E191-InventarioTbl34[[#This Row],[Costo Unit.]]</f>
        <v>5000</v>
      </c>
      <c r="G191" s="49">
        <f>C191-SUMIF(Ventas!D:D,"ROSA BLANCA",Ventas!F:F)</f>
        <v>5</v>
      </c>
    </row>
    <row r="192" spans="1:7" x14ac:dyDescent="0.25">
      <c r="A192" s="57" t="str">
        <f>+InventarioTbl3[[#This Row],[ESPECIE]]</f>
        <v>ROSA CHINA</v>
      </c>
      <c r="B192" s="49"/>
      <c r="C192" s="49">
        <f>+InventarioTbl3[[#This Row],[Cantidad]]</f>
        <v>4</v>
      </c>
      <c r="D192" s="70">
        <f>+InventarioTbl3[[#This Row],[Costo Unit.]]</f>
        <v>6000</v>
      </c>
      <c r="E192" s="70">
        <v>12000</v>
      </c>
      <c r="F192" s="70">
        <f>+E192-InventarioTbl34[[#This Row],[Costo Unit.]]</f>
        <v>6000</v>
      </c>
      <c r="G192" s="49">
        <f>C192-SUMIF(Ventas!D:D,"ROSA CHINA",Ventas!F:F)</f>
        <v>2</v>
      </c>
    </row>
    <row r="193" spans="1:7" x14ac:dyDescent="0.25">
      <c r="A193" s="57" t="str">
        <f>+InventarioTbl3[[#This Row],[ESPECIE]]</f>
        <v>ROSA MINI</v>
      </c>
      <c r="B193" s="49"/>
      <c r="C193" s="49">
        <f>+InventarioTbl3[[#This Row],[Cantidad]]</f>
        <v>6</v>
      </c>
      <c r="D193" s="70">
        <f>+InventarioTbl3[[#This Row],[Costo Unit.]]</f>
        <v>15000</v>
      </c>
      <c r="E193" s="70">
        <v>30000</v>
      </c>
      <c r="F193" s="70">
        <f>+E193-InventarioTbl34[[#This Row],[Costo Unit.]]</f>
        <v>15000</v>
      </c>
      <c r="G193" s="49">
        <f>C193-SUMIF(Ventas!D:D,"ROSA MINI",Ventas!F:F)</f>
        <v>5</v>
      </c>
    </row>
    <row r="194" spans="1:7" x14ac:dyDescent="0.25">
      <c r="A194" s="57" t="str">
        <f>+InventarioTbl3[[#This Row],[ESPECIE]]</f>
        <v>ROSA TREPADORA</v>
      </c>
      <c r="B194" s="49">
        <f>+COMPRAS!B192:B255</f>
        <v>0</v>
      </c>
      <c r="C194" s="49">
        <f>+InventarioTbl3[[#This Row],[Cantidad]]</f>
        <v>11</v>
      </c>
      <c r="D194" s="70">
        <f>+InventarioTbl3[[#This Row],[Costo Unit.]]</f>
        <v>4000</v>
      </c>
      <c r="E194" s="70">
        <v>10000</v>
      </c>
      <c r="F194" s="70">
        <f>+E194-InventarioTbl34[[#This Row],[Costo Unit.]]</f>
        <v>6000</v>
      </c>
      <c r="G194" s="49">
        <f>C194-SUMIF(Ventas!D:D,"ROSA TREPADORA",Ventas!F:F)</f>
        <v>9</v>
      </c>
    </row>
    <row r="195" spans="1:7" x14ac:dyDescent="0.25">
      <c r="A195" s="57" t="str">
        <f>+InventarioTbl3[[#This Row],[ESPECIE]]</f>
        <v>SANTA RITA</v>
      </c>
      <c r="B195" s="49"/>
      <c r="C195" s="49">
        <f>+InventarioTbl3[[#This Row],[Cantidad]]</f>
        <v>16</v>
      </c>
      <c r="D195" s="70">
        <f>+InventarioTbl3[[#This Row],[Costo Unit.]]</f>
        <v>5500</v>
      </c>
      <c r="E195" s="74">
        <v>12000</v>
      </c>
      <c r="F195" s="70">
        <f>+E195-InventarioTbl34[[#This Row],[Costo Unit.]]</f>
        <v>6500</v>
      </c>
      <c r="G195" s="49">
        <f>C195-SUMIF(Ventas!D:D,"SANTA RITA",Ventas!F:F)</f>
        <v>6</v>
      </c>
    </row>
    <row r="196" spans="1:7" x14ac:dyDescent="0.25">
      <c r="A196" s="44" t="str">
        <f>+InventarioTbl3[[#This Row],[ESPECIE]]</f>
        <v>CORONITA DE NOVIA (SPIRAEA CANTONIENSIS)</v>
      </c>
      <c r="B196" s="49">
        <f>+COMPRAS!B196:B256</f>
        <v>7</v>
      </c>
      <c r="C196" s="49">
        <f>+InventarioTbl3[[#This Row],[Cantidad]]</f>
        <v>7</v>
      </c>
      <c r="D196" s="70">
        <f>+InventarioTbl3[[#This Row],[Costo Unit.]]</f>
        <v>8500</v>
      </c>
      <c r="E196" s="74">
        <v>18000</v>
      </c>
      <c r="F196" s="70">
        <f>+E196-InventarioTbl34[[#This Row],[Costo Unit.]]</f>
        <v>9500</v>
      </c>
      <c r="G196" s="49">
        <f>C196-SUMIF(Ventas!D:D,"CORONITA DE NOVIA",Ventas!F:F)</f>
        <v>0</v>
      </c>
    </row>
    <row r="197" spans="1:7" x14ac:dyDescent="0.25">
      <c r="A197" s="65" t="str">
        <f>+InventarioTbl3[[#This Row],[ESPECIE]]</f>
        <v>WESTRINGIA</v>
      </c>
      <c r="B197" s="49">
        <f>+COMPRAS!B197:B257</f>
        <v>0</v>
      </c>
      <c r="C197" s="49">
        <f>+InventarioTbl3[[#This Row],[Cantidad]]</f>
        <v>15</v>
      </c>
      <c r="D197" s="70">
        <f>+InventarioTbl3[[#This Row],[Costo Unit.]]</f>
        <v>3000</v>
      </c>
      <c r="E197" s="74">
        <v>7500</v>
      </c>
      <c r="F197" s="70">
        <f>+E197-InventarioTbl34[[#This Row],[Costo Unit.]]</f>
        <v>4500</v>
      </c>
      <c r="G197" s="49">
        <f>C197-SUMIF(Ventas!D:D,"WESTRINGIA",Ventas!F:F)</f>
        <v>10</v>
      </c>
    </row>
    <row r="198" spans="1:7" x14ac:dyDescent="0.25">
      <c r="A198" s="65" t="s">
        <v>236</v>
      </c>
      <c r="B198" s="49" t="str">
        <f>+COMPRAS!B198:B255</f>
        <v>3/5L</v>
      </c>
      <c r="C198" s="49">
        <f>+InventarioTbl3[[#This Row],[Cantidad]]</f>
        <v>57</v>
      </c>
      <c r="D198" s="70">
        <f>+InventarioTbl3[[#This Row],[Costo Unit.]]</f>
        <v>3000</v>
      </c>
      <c r="E198" s="73" t="s">
        <v>237</v>
      </c>
      <c r="F198" s="70">
        <f>12000-InventarioTbl34[[#This Row],[Costo Unit.]]</f>
        <v>9000</v>
      </c>
      <c r="G198" s="49">
        <f>C198-SUMIF(Ventas!D:D,"YUCA",Ventas!F:F)</f>
        <v>57</v>
      </c>
    </row>
    <row r="199" spans="1:7" x14ac:dyDescent="0.25">
      <c r="A199" s="37" t="s">
        <v>107</v>
      </c>
      <c r="B199" s="60"/>
      <c r="C199" s="60"/>
      <c r="D199" s="71"/>
      <c r="E199" s="69"/>
      <c r="F199" s="69"/>
      <c r="G199" s="38"/>
    </row>
    <row r="200" spans="1:7" x14ac:dyDescent="0.25">
      <c r="A200" s="44" t="s">
        <v>114</v>
      </c>
      <c r="B200" s="49">
        <f>+COMPRAS!B200:B256</f>
        <v>7</v>
      </c>
      <c r="C200" s="49">
        <f>+InventarioTbl3[[#This Row],[Cantidad]]</f>
        <v>4</v>
      </c>
      <c r="D200" s="70">
        <f>+InventarioTbl3[[#This Row],[Costo Unit.]]</f>
        <v>0</v>
      </c>
      <c r="E200" s="70">
        <v>15000</v>
      </c>
      <c r="F200" s="70">
        <f>+E200-InventarioTbl34[[#This Row],[Costo Unit.]]</f>
        <v>15000</v>
      </c>
      <c r="G200" s="49">
        <f>C200-SUMIF(Ventas!D:D,"AGUARIBAY",Ventas!F:F)</f>
        <v>3</v>
      </c>
    </row>
    <row r="201" spans="1:7" x14ac:dyDescent="0.25">
      <c r="A201" s="45" t="s">
        <v>115</v>
      </c>
      <c r="B201" s="49">
        <f>+COMPRAS!B201:B257</f>
        <v>0</v>
      </c>
      <c r="C201" s="49">
        <f>+InventarioTbl3[[#This Row],[Cantidad]]</f>
        <v>0</v>
      </c>
      <c r="D201" s="70">
        <f>+InventarioTbl3[[#This Row],[Costo Unit.]]</f>
        <v>0</v>
      </c>
      <c r="E201" s="70"/>
      <c r="F201" s="70">
        <f>+E201-InventarioTbl34[[#This Row],[Costo Unit.]]</f>
        <v>0</v>
      </c>
      <c r="G201" s="49">
        <f>C201-SUMIF(Ventas!D:D,"FICUS PANDURATA",Ventas!F:F)</f>
        <v>0</v>
      </c>
    </row>
    <row r="202" spans="1:7" x14ac:dyDescent="0.25">
      <c r="A202" s="45" t="s">
        <v>93</v>
      </c>
      <c r="B202" s="49">
        <f>+COMPRAS!B202:B258</f>
        <v>5</v>
      </c>
      <c r="C202" s="49">
        <f>+InventarioTbl3[[#This Row],[Cantidad]]</f>
        <v>5</v>
      </c>
      <c r="D202" s="70">
        <f>+InventarioTbl3[[#This Row],[Costo Unit.]]</f>
        <v>24000</v>
      </c>
      <c r="E202" s="70">
        <v>25000</v>
      </c>
      <c r="F202" s="70">
        <f>+E202-InventarioTbl34[[#This Row],[Costo Unit.]]</f>
        <v>1000</v>
      </c>
      <c r="G202" s="49">
        <f>C202-SUMIF(Ventas!D:D,"GOMERO COMUN",Ventas!F:F)</f>
        <v>3</v>
      </c>
    </row>
    <row r="203" spans="1:7" x14ac:dyDescent="0.25">
      <c r="A203" s="62" t="s">
        <v>196</v>
      </c>
      <c r="B203" s="49">
        <f>+COMPRAS!B203:B259</f>
        <v>1.5</v>
      </c>
      <c r="C203" s="49">
        <f>+InventarioTbl3[[#This Row],[Cantidad]]</f>
        <v>5</v>
      </c>
      <c r="D203" s="70">
        <f>+InventarioTbl3[[#This Row],[Costo Unit.]]</f>
        <v>11000</v>
      </c>
      <c r="E203" s="70">
        <v>14000</v>
      </c>
      <c r="F203" s="70">
        <f>+E203-InventarioTbl34[[#This Row],[Costo Unit.]]</f>
        <v>3000</v>
      </c>
      <c r="G203" s="49">
        <f>C203-SUMIF(Ventas!D:D,"GOMERO COMUN 1L",Ventas!F:F)</f>
        <v>1</v>
      </c>
    </row>
    <row r="204" spans="1:7" x14ac:dyDescent="0.25">
      <c r="A204" s="62" t="str">
        <f>+InventarioTbl3[[#This Row],[ESPECIE]]</f>
        <v>GOMERO DISCIPLINADO</v>
      </c>
      <c r="B204" s="49">
        <f>+COMPRAS!B204:B260</f>
        <v>3</v>
      </c>
      <c r="C204" s="49">
        <f>+InventarioTbl3[[#This Row],[Cantidad]]</f>
        <v>4</v>
      </c>
      <c r="D204" s="70">
        <f>+InventarioTbl3[[#This Row],[Costo Unit.]]</f>
        <v>13500</v>
      </c>
      <c r="E204" s="70">
        <v>25000</v>
      </c>
      <c r="F204" s="70">
        <f>+E204-InventarioTbl34[[#This Row],[Costo Unit.]]</f>
        <v>11500</v>
      </c>
      <c r="G204" s="49">
        <f>C204-SUMIF(Ventas!D:D,"GOMERO DISCIPLINADO",Ventas!F:F)</f>
        <v>2</v>
      </c>
    </row>
    <row r="205" spans="1:7" x14ac:dyDescent="0.25">
      <c r="A205" s="45" t="s">
        <v>242</v>
      </c>
      <c r="B205" s="49">
        <f>+COMPRAS!B205:B260</f>
        <v>1.5</v>
      </c>
      <c r="C205" s="49">
        <f>+InventarioTbl3[[#This Row],[Cantidad]]</f>
        <v>5</v>
      </c>
      <c r="D205" s="70">
        <f>+InventarioTbl3[[#This Row],[Costo Unit.]]</f>
        <v>11000</v>
      </c>
      <c r="E205" s="70">
        <v>19000</v>
      </c>
      <c r="F205" s="70">
        <f>+E205-InventarioTbl34[[#This Row],[Costo Unit.]]</f>
        <v>8000</v>
      </c>
      <c r="G205" s="49">
        <f>C205-SUMIF(Ventas!D:D,"GOMERO PINK",Ventas!F:F)</f>
        <v>1</v>
      </c>
    </row>
    <row r="206" spans="1:7" x14ac:dyDescent="0.25">
      <c r="A206" s="44" t="s">
        <v>41</v>
      </c>
      <c r="B206" s="49">
        <f>+COMPRAS!B206:B261</f>
        <v>1.5</v>
      </c>
      <c r="C206" s="49">
        <f>+InventarioTbl3[[#This Row],[Cantidad]]</f>
        <v>13</v>
      </c>
      <c r="D206" s="70">
        <f>+InventarioTbl3[[#This Row],[Costo Unit.]]</f>
        <v>14000</v>
      </c>
      <c r="E206" s="70">
        <v>25000</v>
      </c>
      <c r="F206" s="70">
        <f>+E206-InventarioTbl34[[#This Row],[Costo Unit.]]</f>
        <v>11000</v>
      </c>
      <c r="G206" s="49">
        <f>C206-SUMIF(Ventas!D:D,"GOMERO VARIEGADO",Ventas!F:F)</f>
        <v>9</v>
      </c>
    </row>
    <row r="207" spans="1:7" ht="14.25" customHeight="1" x14ac:dyDescent="0.25">
      <c r="A207" s="57" t="str">
        <f>+InventarioTbl3[[#This Row],[ESPECIE]]</f>
        <v>LAUREL BLANCO</v>
      </c>
      <c r="B207" s="49">
        <f>+COMPRAS!B207:B262</f>
        <v>0</v>
      </c>
      <c r="C207" s="49">
        <f>+InventarioTbl3[[#This Row],[Cantidad]]</f>
        <v>5</v>
      </c>
      <c r="D207" s="70">
        <f>+InventarioTbl3[[#This Row],[Costo Unit.]]</f>
        <v>3000</v>
      </c>
      <c r="E207" s="70">
        <v>15000</v>
      </c>
      <c r="F207" s="70">
        <f>+E207-InventarioTbl34[[#This Row],[Costo Unit.]]</f>
        <v>12000</v>
      </c>
      <c r="G207" s="49">
        <f>C207-SUMIF(Ventas!D:D,"LAUREL BLANCO",Ventas!F:F)</f>
        <v>5</v>
      </c>
    </row>
    <row r="208" spans="1:7" x14ac:dyDescent="0.25">
      <c r="A208" s="57" t="str">
        <f>+InventarioTbl3[[#This Row],[ESPECIE]]</f>
        <v>LAUREL DE JARDIN</v>
      </c>
      <c r="B208" s="49"/>
      <c r="C208" s="49">
        <f>+InventarioTbl3[[#This Row],[Cantidad]]</f>
        <v>1</v>
      </c>
      <c r="D208" s="70">
        <f>+InventarioTbl3[[#This Row],[Costo Unit.]]</f>
        <v>0</v>
      </c>
      <c r="E208" s="70">
        <v>22000</v>
      </c>
      <c r="F208" s="70">
        <f>+E208-InventarioTbl34[[#This Row],[Costo Unit.]]</f>
        <v>22000</v>
      </c>
      <c r="G208" s="49">
        <f>C208-SUMIF(Ventas!D:D,"LAUREL DE JARDIN",Ventas!F:F)</f>
        <v>1</v>
      </c>
    </row>
    <row r="209" spans="1:7" x14ac:dyDescent="0.25">
      <c r="A209" s="45" t="s">
        <v>113</v>
      </c>
      <c r="B209" s="49">
        <f>+COMPRAS!B209:B262</f>
        <v>0</v>
      </c>
      <c r="C209" s="49">
        <f>+InventarioTbl3[[#This Row],[Cantidad]]</f>
        <v>0</v>
      </c>
      <c r="D209" s="70">
        <f>+InventarioTbl3[[#This Row],[Costo Unit.]]</f>
        <v>0</v>
      </c>
      <c r="E209" s="70"/>
      <c r="F209" s="70">
        <f>+E209-InventarioTbl34[[#This Row],[Costo Unit.]]</f>
        <v>0</v>
      </c>
      <c r="G209" s="49">
        <f>C209-SUMIF(Ventas!D:D,"PATA DE BUEY",Ventas!F:F)</f>
        <v>0</v>
      </c>
    </row>
    <row r="210" spans="1:7" x14ac:dyDescent="0.25">
      <c r="A210" s="62" t="str">
        <f>+InventarioTbl3[[#This Row],[ESPECIE]]</f>
        <v>PANDURATA</v>
      </c>
      <c r="B210" s="49">
        <f>+COMPRAS!B210:B263</f>
        <v>3</v>
      </c>
      <c r="C210" s="49">
        <f>+InventarioTbl3[[#This Row],[Cantidad]]</f>
        <v>1</v>
      </c>
      <c r="D210" s="70">
        <f>+InventarioTbl3[[#This Row],[Costo Unit.]]</f>
        <v>17000</v>
      </c>
      <c r="E210" s="70">
        <v>30000</v>
      </c>
      <c r="F210" s="70">
        <f>+E210-InventarioTbl34[[#This Row],[Costo Unit.]]</f>
        <v>13000</v>
      </c>
      <c r="G210" s="49">
        <f>C210-SUMIF(Ventas!D:D,"PANDURATA",Ventas!F:F)</f>
        <v>1</v>
      </c>
    </row>
    <row r="211" spans="1:7" x14ac:dyDescent="0.25">
      <c r="A211" s="62" t="s">
        <v>507</v>
      </c>
      <c r="B211" s="49"/>
      <c r="C211" s="49">
        <f>+InventarioTbl3[[#This Row],[Cantidad]]</f>
        <v>10</v>
      </c>
      <c r="D211" s="70">
        <f>+InventarioTbl3[[#This Row],[Costo Unit.]]</f>
        <v>3000</v>
      </c>
      <c r="E211" s="70">
        <v>8000</v>
      </c>
      <c r="F211" s="70">
        <f>+E211-InventarioTbl34[[#This Row],[Costo Unit.]]</f>
        <v>5000</v>
      </c>
      <c r="G211" s="49">
        <f>C211-SUMIF(Ventas!D:D,"TACUARITA",Ventas!F:F)</f>
        <v>10</v>
      </c>
    </row>
    <row r="212" spans="1:7" x14ac:dyDescent="0.25">
      <c r="A212" s="44" t="s">
        <v>193</v>
      </c>
      <c r="B212" s="49">
        <f>+COMPRAS!B212:B263</f>
        <v>0</v>
      </c>
      <c r="C212" s="49">
        <f>+InventarioTbl3[[#This Row],[Cantidad]]</f>
        <v>0</v>
      </c>
      <c r="D212" s="70">
        <f>+InventarioTbl3[[#This Row],[Costo Unit.]]</f>
        <v>0</v>
      </c>
      <c r="E212" s="70"/>
      <c r="F212" s="70">
        <f>+E212-InventarioTbl34[[#This Row],[Costo Unit.]]</f>
        <v>0</v>
      </c>
      <c r="G212" s="49">
        <f>C212-SUMIF(Ventas!D:D,"VIRARO",Ventas!F:F)</f>
        <v>0</v>
      </c>
    </row>
    <row r="213" spans="1:7" x14ac:dyDescent="0.25">
      <c r="A213" s="37" t="s">
        <v>116</v>
      </c>
      <c r="B213" s="60"/>
      <c r="C213" s="60"/>
      <c r="D213" s="71"/>
      <c r="E213" s="71"/>
      <c r="F213" s="71"/>
      <c r="G213" s="60"/>
    </row>
    <row r="214" spans="1:7" x14ac:dyDescent="0.25">
      <c r="A214" s="45" t="s">
        <v>117</v>
      </c>
      <c r="B214" s="49">
        <f>+COMPRAS!B214:B265</f>
        <v>0</v>
      </c>
      <c r="C214" s="49">
        <f>+InventarioTbl3[[#This Row],[Cantidad]]</f>
        <v>0</v>
      </c>
      <c r="D214" s="70">
        <f>+InventarioTbl3[[#This Row],[Costo Unit.]]</f>
        <v>0</v>
      </c>
      <c r="E214" s="70"/>
      <c r="F214" s="70">
        <f>+E214-InventarioTbl34[[#This Row],[Costo Unit.]]</f>
        <v>0</v>
      </c>
      <c r="G214" s="49">
        <f>C214-SUMIF(Ventas!D:D,"ALOE VERA",Ventas!F:F)</f>
        <v>0</v>
      </c>
    </row>
    <row r="215" spans="1:7" x14ac:dyDescent="0.25">
      <c r="A215" s="44" t="s">
        <v>40</v>
      </c>
      <c r="B215" s="49">
        <f>+COMPRAS!B215:B266</f>
        <v>0.9</v>
      </c>
      <c r="C215" s="49">
        <f>+InventarioTbl3[[#This Row],[Cantidad]]</f>
        <v>10</v>
      </c>
      <c r="D215" s="70">
        <f>+InventarioTbl3[[#This Row],[Costo Unit.]]</f>
        <v>4800</v>
      </c>
      <c r="E215" s="70">
        <v>6000</v>
      </c>
      <c r="F215" s="70">
        <f>+E215-InventarioTbl34[[#This Row],[Costo Unit.]]</f>
        <v>1200</v>
      </c>
      <c r="G215" s="49">
        <f>C215-SUMIF(Ventas!D:D,"KALANCHOE",Ventas!F:F)</f>
        <v>10</v>
      </c>
    </row>
    <row r="216" spans="1:7" x14ac:dyDescent="0.25">
      <c r="A216" s="57" t="str">
        <f>+InventarioTbl3[[#This Row],[ESPECIE]]</f>
        <v>KALANCHOE MINI</v>
      </c>
      <c r="B216" s="49">
        <f>+COMPRAS!B216:B267</f>
        <v>0</v>
      </c>
      <c r="C216" s="49">
        <f>+InventarioTbl3[[#This Row],[Cantidad]]</f>
        <v>15</v>
      </c>
      <c r="D216" s="70">
        <f>+InventarioTbl3[[#This Row],[Costo Unit.]]</f>
        <v>2500</v>
      </c>
      <c r="E216" s="70">
        <v>4500</v>
      </c>
      <c r="F216" s="70">
        <f>+E216-InventarioTbl34[[#This Row],[Costo Unit.]]</f>
        <v>2000</v>
      </c>
      <c r="G216" s="49">
        <f>C216-SUMIF(Ventas!D:D,"KALANCHOE MINI",Ventas!F:F)</f>
        <v>5</v>
      </c>
    </row>
    <row r="217" spans="1:7" x14ac:dyDescent="0.25">
      <c r="A217" s="45" t="s">
        <v>703</v>
      </c>
      <c r="B217" s="49">
        <f>+COMPRAS!B217:B267</f>
        <v>15</v>
      </c>
      <c r="C217" s="49">
        <f>+COMPRAS!C217</f>
        <v>12</v>
      </c>
      <c r="D217" s="70">
        <f>+COMPRAS!D217</f>
        <v>3000</v>
      </c>
      <c r="E217" s="70">
        <v>12000</v>
      </c>
      <c r="F217" s="70">
        <f>+E217-InventarioTbl34[[#This Row],[Costo Unit.]]</f>
        <v>9000</v>
      </c>
      <c r="G217" s="49">
        <f>C217-SUMIF(Ventas!D:D,"NOLINA CHICA",Ventas!F:F)</f>
        <v>11</v>
      </c>
    </row>
    <row r="218" spans="1:7" x14ac:dyDescent="0.25">
      <c r="A218" s="83" t="str">
        <f>+InventarioTbl3[[#This Row],[ESPECIE]]</f>
        <v>NOLINA MEDIANA</v>
      </c>
      <c r="B218" s="49">
        <f>+COMPRAS!B218:B268</f>
        <v>0</v>
      </c>
      <c r="C218" s="49">
        <f>+COMPRAS!C218</f>
        <v>0</v>
      </c>
      <c r="D218" s="70">
        <f>+COMPRAS!D218</f>
        <v>0</v>
      </c>
      <c r="E218" s="70">
        <v>20000</v>
      </c>
      <c r="F218" s="70">
        <f>+E218-InventarioTbl34[[#This Row],[Costo Unit.]]</f>
        <v>20000</v>
      </c>
      <c r="G218" s="49">
        <f>C218-SUMIF(Ventas!D:D,"NOLINA MEDIANA",Ventas!F:F)</f>
        <v>0</v>
      </c>
    </row>
    <row r="219" spans="1:7" x14ac:dyDescent="0.25">
      <c r="A219" s="83" t="s">
        <v>498</v>
      </c>
      <c r="B219" s="49">
        <f>+COMPRAS!B219:B268</f>
        <v>0</v>
      </c>
      <c r="C219" s="49">
        <f>+COMPRAS!C219</f>
        <v>7</v>
      </c>
      <c r="D219" s="70">
        <f>+COMPRAS!D219</f>
        <v>5000</v>
      </c>
      <c r="E219" s="70">
        <v>40000</v>
      </c>
      <c r="F219" s="70">
        <f>+E219-InventarioTbl34[[#This Row],[Costo Unit.]]</f>
        <v>35000</v>
      </c>
      <c r="G219" s="49">
        <f>C219-SUMIF(Ventas!D:D,"NOLINA GRANDE",Ventas!F:F)</f>
        <v>7</v>
      </c>
    </row>
    <row r="220" spans="1:7" x14ac:dyDescent="0.25">
      <c r="A220" s="37" t="s">
        <v>175</v>
      </c>
      <c r="B220" s="60"/>
      <c r="C220" s="60"/>
      <c r="D220" s="71"/>
      <c r="E220" s="71"/>
      <c r="F220" s="71"/>
      <c r="G220" s="60"/>
    </row>
    <row r="221" spans="1:7" x14ac:dyDescent="0.25">
      <c r="A221" s="45" t="s">
        <v>183</v>
      </c>
      <c r="B221" s="49">
        <f>+COMPRAS!B221:B269</f>
        <v>0</v>
      </c>
      <c r="C221" s="49">
        <f>+InventarioTbl3[[#This Row],[Cantidad]]</f>
        <v>0</v>
      </c>
      <c r="D221" s="70">
        <f>+InventarioTbl3[[#This Row],[Costo Unit.]]</f>
        <v>0</v>
      </c>
      <c r="E221" s="70"/>
      <c r="F221" s="70">
        <f>+E221-InventarioTbl34[[#This Row],[Costo Unit.]]</f>
        <v>0</v>
      </c>
      <c r="G221" s="49">
        <f>C221-SUMIF(Ventas!D:D,"CIRUELO",Ventas!F:F)</f>
        <v>0</v>
      </c>
    </row>
    <row r="222" spans="1:7" x14ac:dyDescent="0.25">
      <c r="A222" s="45" t="s">
        <v>182</v>
      </c>
      <c r="B222" s="49">
        <f>+COMPRAS!B222:B270</f>
        <v>0</v>
      </c>
      <c r="C222" s="49">
        <f>+InventarioTbl3[[#This Row],[Cantidad]]</f>
        <v>0</v>
      </c>
      <c r="D222" s="70">
        <f>+InventarioTbl3[[#This Row],[Costo Unit.]]</f>
        <v>0</v>
      </c>
      <c r="E222" s="70"/>
      <c r="F222" s="70">
        <f>+E222-InventarioTbl34[[#This Row],[Costo Unit.]]</f>
        <v>0</v>
      </c>
      <c r="G222" s="49">
        <f>C222-SUMIF(Ventas!D:D,"DURAZNERO",Ventas!F:F)</f>
        <v>0</v>
      </c>
    </row>
    <row r="223" spans="1:7" x14ac:dyDescent="0.25">
      <c r="A223" s="45" t="s">
        <v>179</v>
      </c>
      <c r="B223" s="49">
        <f>+COMPRAS!B223:B271</f>
        <v>0</v>
      </c>
      <c r="C223" s="49">
        <f>+InventarioTbl3[[#This Row],[Cantidad]]</f>
        <v>0</v>
      </c>
      <c r="D223" s="70">
        <f>+InventarioTbl3[[#This Row],[Costo Unit.]]</f>
        <v>0</v>
      </c>
      <c r="E223" s="70"/>
      <c r="F223" s="70">
        <f>+E223-InventarioTbl34[[#This Row],[Costo Unit.]]</f>
        <v>0</v>
      </c>
      <c r="G223" s="49">
        <f>C223-SUMIF(Ventas!D:D,"GUAJABA",Ventas!F:F)</f>
        <v>0</v>
      </c>
    </row>
    <row r="224" spans="1:7" x14ac:dyDescent="0.25">
      <c r="A224" s="45" t="s">
        <v>177</v>
      </c>
      <c r="B224" s="49">
        <f>+COMPRAS!B224:B272</f>
        <v>0</v>
      </c>
      <c r="C224" s="49">
        <f>+InventarioTbl3[[#This Row],[Cantidad]]</f>
        <v>0</v>
      </c>
      <c r="D224" s="70">
        <f>+InventarioTbl3[[#This Row],[Costo Unit.]]</f>
        <v>0</v>
      </c>
      <c r="E224" s="70"/>
      <c r="F224" s="70">
        <f>+E224-InventarioTbl34[[#This Row],[Costo Unit.]]</f>
        <v>0</v>
      </c>
      <c r="G224" s="49">
        <f>C224-SUMIF(Ventas!D:D,"LIMON EUREKA",Ventas!F:F)</f>
        <v>0</v>
      </c>
    </row>
    <row r="225" spans="1:7" x14ac:dyDescent="0.25">
      <c r="A225" s="45" t="s">
        <v>186</v>
      </c>
      <c r="B225" s="49">
        <f>+COMPRAS!B225:B273</f>
        <v>0</v>
      </c>
      <c r="C225" s="49">
        <f>+InventarioTbl3[[#This Row],[Cantidad]]</f>
        <v>0</v>
      </c>
      <c r="D225" s="70">
        <f>+InventarioTbl3[[#This Row],[Costo Unit.]]</f>
        <v>0</v>
      </c>
      <c r="E225" s="70"/>
      <c r="F225" s="70">
        <f>+E225-InventarioTbl34[[#This Row],[Costo Unit.]]</f>
        <v>0</v>
      </c>
      <c r="G225" s="49">
        <f>C225-SUMIF(Ventas!D:D,"MAMON RED LEDY",Ventas!F:F)</f>
        <v>0</v>
      </c>
    </row>
    <row r="226" spans="1:7" x14ac:dyDescent="0.25">
      <c r="A226" s="45" t="s">
        <v>181</v>
      </c>
      <c r="B226" s="49">
        <f>+COMPRAS!B226:B274</f>
        <v>0</v>
      </c>
      <c r="C226" s="49">
        <f>+InventarioTbl3[[#This Row],[Cantidad]]</f>
        <v>0</v>
      </c>
      <c r="D226" s="70">
        <f>+InventarioTbl3[[#This Row],[Costo Unit.]]</f>
        <v>0</v>
      </c>
      <c r="E226" s="70"/>
      <c r="F226" s="70">
        <f>+E226-InventarioTbl34[[#This Row],[Costo Unit.]]</f>
        <v>0</v>
      </c>
      <c r="G226" s="49">
        <f>C226-SUMIF(Ventas!D:D,"MANGO",Ventas!F:F)</f>
        <v>0</v>
      </c>
    </row>
    <row r="227" spans="1:7" x14ac:dyDescent="0.25">
      <c r="A227" s="45" t="s">
        <v>180</v>
      </c>
      <c r="B227" s="49">
        <f>+COMPRAS!B227:B275</f>
        <v>0</v>
      </c>
      <c r="C227" s="49">
        <f>+InventarioTbl3[[#This Row],[Cantidad]]</f>
        <v>0</v>
      </c>
      <c r="D227" s="70">
        <f>+InventarioTbl3[[#This Row],[Costo Unit.]]</f>
        <v>0</v>
      </c>
      <c r="E227" s="70"/>
      <c r="F227" s="70">
        <f>+E227-InventarioTbl34[[#This Row],[Costo Unit.]]</f>
        <v>0</v>
      </c>
      <c r="G227" s="49">
        <f>C227-SUMIF(Ventas!D:D,"MORA",Ventas!F:F)</f>
        <v>0</v>
      </c>
    </row>
    <row r="228" spans="1:7" x14ac:dyDescent="0.25">
      <c r="A228" s="45" t="s">
        <v>176</v>
      </c>
      <c r="B228" s="49">
        <f>+COMPRAS!B228:B276</f>
        <v>3</v>
      </c>
      <c r="C228" s="49">
        <f>+InventarioTbl3[[#This Row],[Cantidad]]</f>
        <v>8</v>
      </c>
      <c r="D228" s="70">
        <f>+InventarioTbl3[[#This Row],[Costo Unit.]]</f>
        <v>1500</v>
      </c>
      <c r="E228" s="70">
        <v>5000</v>
      </c>
      <c r="F228" s="70">
        <f>+E228-InventarioTbl34[[#This Row],[Costo Unit.]]</f>
        <v>3500</v>
      </c>
      <c r="G228" s="49">
        <f>C228-SUMIF(Ventas!D:D,"NISPERO",Ventas!F:F)</f>
        <v>8</v>
      </c>
    </row>
    <row r="229" spans="1:7" x14ac:dyDescent="0.25">
      <c r="A229" s="45" t="s">
        <v>185</v>
      </c>
      <c r="B229" s="49">
        <f>+COMPRAS!B229:B277</f>
        <v>0</v>
      </c>
      <c r="C229" s="49">
        <f>+InventarioTbl3[[#This Row],[Cantidad]]</f>
        <v>0</v>
      </c>
      <c r="D229" s="70">
        <f>+InventarioTbl3[[#This Row],[Costo Unit.]]</f>
        <v>0</v>
      </c>
      <c r="E229" s="70"/>
      <c r="F229" s="70">
        <f>+E229-InventarioTbl34[[#This Row],[Costo Unit.]]</f>
        <v>0</v>
      </c>
      <c r="G229" s="49">
        <f>C229-SUMIF(Ventas!D:D,"NOGAL COMUN",Ventas!F:F)</f>
        <v>0</v>
      </c>
    </row>
    <row r="230" spans="1:7" x14ac:dyDescent="0.25">
      <c r="A230" s="45" t="s">
        <v>184</v>
      </c>
      <c r="B230" s="49">
        <f>+COMPRAS!B230:B278</f>
        <v>0</v>
      </c>
      <c r="C230" s="49">
        <f>+InventarioTbl3[[#This Row],[Cantidad]]</f>
        <v>0</v>
      </c>
      <c r="D230" s="70">
        <f>+InventarioTbl3[[#This Row],[Costo Unit.]]</f>
        <v>0</v>
      </c>
      <c r="E230" s="70"/>
      <c r="F230" s="70">
        <f>+E230-InventarioTbl34[[#This Row],[Costo Unit.]]</f>
        <v>0</v>
      </c>
      <c r="G230" s="49">
        <f>C230-SUMIF(Ventas!D:D,"NOGAL PECAN",Ventas!F:F)</f>
        <v>0</v>
      </c>
    </row>
    <row r="231" spans="1:7" x14ac:dyDescent="0.25">
      <c r="A231" s="45" t="s">
        <v>112</v>
      </c>
      <c r="B231" s="49">
        <f>+COMPRAS!B231:B279</f>
        <v>10</v>
      </c>
      <c r="C231" s="49">
        <f>+InventarioTbl3[[#This Row],[Cantidad]]</f>
        <v>2</v>
      </c>
      <c r="D231" s="70">
        <f>+InventarioTbl3[[#This Row],[Costo Unit.]]</f>
        <v>0</v>
      </c>
      <c r="E231" s="70">
        <v>60000</v>
      </c>
      <c r="F231" s="70">
        <f>+E231-InventarioTbl34[[#This Row],[Costo Unit.]]</f>
        <v>60000</v>
      </c>
      <c r="G231" s="49">
        <f>C231-SUMIF(Ventas!D:D,"OLIVO",Ventas!F:F)</f>
        <v>0</v>
      </c>
    </row>
    <row r="232" spans="1:7" x14ac:dyDescent="0.25">
      <c r="A232" s="45" t="s">
        <v>178</v>
      </c>
      <c r="B232" s="49">
        <f>+COMPRAS!B232:B280</f>
        <v>0</v>
      </c>
      <c r="C232" s="49">
        <f>+InventarioTbl3[[#This Row],[Cantidad]]</f>
        <v>0</v>
      </c>
      <c r="D232" s="70">
        <f>+InventarioTbl3[[#This Row],[Costo Unit.]]</f>
        <v>0</v>
      </c>
      <c r="E232" s="70"/>
      <c r="F232" s="70">
        <f>+E232-InventarioTbl34[[#This Row],[Costo Unit.]]</f>
        <v>0</v>
      </c>
      <c r="G232" s="49">
        <f>C232-SUMIF(Ventas!D:D,"PALTO",Ventas!F:F)</f>
        <v>0</v>
      </c>
    </row>
    <row r="233" spans="1:7" x14ac:dyDescent="0.25">
      <c r="A233" s="43"/>
      <c r="B233" s="49">
        <f>+COMPRAS!B233:B281</f>
        <v>0</v>
      </c>
      <c r="C233" s="49">
        <f>+InventarioTbl3[[#This Row],[Cantidad]]</f>
        <v>0</v>
      </c>
      <c r="D233" s="70">
        <f>+InventarioTbl3[[#This Row],[Costo Unit.]]</f>
        <v>0</v>
      </c>
      <c r="E233" s="70"/>
      <c r="F233" s="70">
        <f>+E233-InventarioTbl34[[#This Row],[Costo Unit.]]</f>
        <v>0</v>
      </c>
      <c r="G233" s="49"/>
    </row>
    <row r="234" spans="1:7" x14ac:dyDescent="0.25">
      <c r="A234" s="43"/>
      <c r="B234" s="49">
        <f>+COMPRAS!B234:B282</f>
        <v>0</v>
      </c>
      <c r="C234" s="49">
        <f>+InventarioTbl3[[#This Row],[Cantidad]]</f>
        <v>0</v>
      </c>
      <c r="D234" s="70">
        <f>+InventarioTbl3[[#This Row],[Costo Unit.]]</f>
        <v>0</v>
      </c>
      <c r="E234" s="70"/>
      <c r="F234" s="70">
        <f>+E234-InventarioTbl34[[#This Row],[Costo Unit.]]</f>
        <v>0</v>
      </c>
      <c r="G234" s="49"/>
    </row>
    <row r="235" spans="1:7" x14ac:dyDescent="0.25">
      <c r="A235" s="43"/>
      <c r="B235" s="49">
        <f>+COMPRAS!B235:B283</f>
        <v>0</v>
      </c>
      <c r="C235" s="49">
        <f>+InventarioTbl3[[#This Row],[Cantidad]]</f>
        <v>0</v>
      </c>
      <c r="D235" s="70">
        <f>+InventarioTbl3[[#This Row],[Costo Unit.]]</f>
        <v>0</v>
      </c>
      <c r="E235" s="70"/>
      <c r="F235" s="70">
        <f>+E235-InventarioTbl34[[#This Row],[Costo Unit.]]</f>
        <v>0</v>
      </c>
      <c r="G235" s="49"/>
    </row>
    <row r="236" spans="1:7" x14ac:dyDescent="0.25">
      <c r="A236" s="43"/>
      <c r="B236" s="49">
        <f>+COMPRAS!B236:B284</f>
        <v>0</v>
      </c>
      <c r="C236" s="49">
        <f>+InventarioTbl3[[#This Row],[Cantidad]]</f>
        <v>0</v>
      </c>
      <c r="D236" s="70">
        <f>+InventarioTbl3[[#This Row],[Costo Unit.]]</f>
        <v>0</v>
      </c>
      <c r="E236" s="70"/>
      <c r="F236" s="70">
        <f>+E236-InventarioTbl34[[#This Row],[Costo Unit.]]</f>
        <v>0</v>
      </c>
      <c r="G236" s="49"/>
    </row>
    <row r="237" spans="1:7" x14ac:dyDescent="0.25">
      <c r="A237" s="43"/>
      <c r="B237" s="49">
        <f>+COMPRAS!B237:B285</f>
        <v>0</v>
      </c>
      <c r="C237" s="49">
        <f>+InventarioTbl3[[#This Row],[Cantidad]]</f>
        <v>0</v>
      </c>
      <c r="D237" s="70">
        <f>+InventarioTbl3[[#This Row],[Costo Unit.]]</f>
        <v>0</v>
      </c>
      <c r="E237" s="70"/>
      <c r="F237" s="70">
        <f>+E237-InventarioTbl34[[#This Row],[Costo Unit.]]</f>
        <v>0</v>
      </c>
      <c r="G237" s="49"/>
    </row>
    <row r="238" spans="1:7" x14ac:dyDescent="0.25">
      <c r="A238" s="43"/>
      <c r="B238" s="49"/>
      <c r="C238" s="49"/>
      <c r="D238" s="70"/>
      <c r="E238" s="70"/>
      <c r="F238" s="70">
        <f>+E238-InventarioTbl34[[#This Row],[Costo Unit.]]</f>
        <v>0</v>
      </c>
      <c r="G238" s="49"/>
    </row>
    <row r="239" spans="1:7" x14ac:dyDescent="0.25">
      <c r="A239" s="43"/>
      <c r="B239" s="49"/>
      <c r="C239" s="49"/>
      <c r="D239" s="70"/>
      <c r="E239" s="70"/>
      <c r="F239" s="70">
        <f>+E239-InventarioTbl34[[#This Row],[Costo Unit.]]</f>
        <v>0</v>
      </c>
      <c r="G239" s="49"/>
    </row>
    <row r="240" spans="1:7" x14ac:dyDescent="0.25">
      <c r="A240" s="43"/>
      <c r="B240" s="49"/>
      <c r="C240" s="49"/>
      <c r="D240" s="70"/>
      <c r="E240" s="70"/>
      <c r="F240" s="70">
        <f>+E240-InventarioTbl34[[#This Row],[Costo Unit.]]</f>
        <v>0</v>
      </c>
      <c r="G240" s="49"/>
    </row>
    <row r="241" spans="1:7" x14ac:dyDescent="0.25">
      <c r="A241" s="43"/>
      <c r="B241" s="49"/>
      <c r="C241" s="49"/>
      <c r="D241" s="70"/>
      <c r="E241" s="70"/>
      <c r="F241" s="70">
        <f>+E241-InventarioTbl34[[#This Row],[Costo Unit.]]</f>
        <v>0</v>
      </c>
      <c r="G241" s="49"/>
    </row>
    <row r="242" spans="1:7" x14ac:dyDescent="0.25">
      <c r="A242" s="43"/>
      <c r="B242" s="49"/>
      <c r="C242" s="49"/>
      <c r="D242" s="70"/>
      <c r="E242" s="70"/>
      <c r="F242" s="70">
        <f>+E242-InventarioTbl34[[#This Row],[Costo Unit.]]</f>
        <v>0</v>
      </c>
      <c r="G242" s="49"/>
    </row>
    <row r="243" spans="1:7" x14ac:dyDescent="0.25">
      <c r="A243" s="43"/>
      <c r="B243" s="49"/>
      <c r="C243" s="49"/>
      <c r="D243" s="70"/>
      <c r="E243" s="70"/>
      <c r="F243" s="70">
        <f>+E243-InventarioTbl34[[#This Row],[Costo Unit.]]</f>
        <v>0</v>
      </c>
      <c r="G243" s="49"/>
    </row>
    <row r="244" spans="1:7" x14ac:dyDescent="0.25">
      <c r="A244" s="43"/>
      <c r="B244" s="49"/>
      <c r="C244" s="49"/>
      <c r="D244" s="70"/>
      <c r="E244" s="70"/>
      <c r="F244" s="70">
        <f>+E244-InventarioTbl34[[#This Row],[Costo Unit.]]</f>
        <v>0</v>
      </c>
      <c r="G244" s="49"/>
    </row>
    <row r="245" spans="1:7" x14ac:dyDescent="0.25">
      <c r="A245" s="43"/>
      <c r="B245" s="49"/>
      <c r="C245" s="49"/>
      <c r="D245" s="70"/>
      <c r="E245" s="70"/>
      <c r="F245" s="70">
        <f>+E245-InventarioTbl34[[#This Row],[Costo Unit.]]</f>
        <v>0</v>
      </c>
      <c r="G245" s="49"/>
    </row>
    <row r="246" spans="1:7" x14ac:dyDescent="0.25">
      <c r="A246" s="43"/>
      <c r="B246" s="49"/>
      <c r="C246" s="49"/>
      <c r="D246" s="70"/>
      <c r="E246" s="70"/>
      <c r="F246" s="70">
        <f>+E246-InventarioTbl34[[#This Row],[Costo Unit.]]</f>
        <v>0</v>
      </c>
      <c r="G246" s="49"/>
    </row>
    <row r="247" spans="1:7" x14ac:dyDescent="0.25">
      <c r="A247" s="43"/>
      <c r="B247" s="49"/>
      <c r="C247" s="49"/>
      <c r="D247" s="70"/>
      <c r="E247" s="70"/>
      <c r="F247" s="70">
        <f>+E247-InventarioTbl34[[#This Row],[Costo Unit.]]</f>
        <v>0</v>
      </c>
      <c r="G247" s="49"/>
    </row>
    <row r="248" spans="1:7" x14ac:dyDescent="0.25">
      <c r="A248" s="43"/>
      <c r="B248" s="49"/>
      <c r="C248" s="49"/>
      <c r="D248" s="70"/>
      <c r="E248" s="70"/>
      <c r="F248" s="70">
        <f>+E248-InventarioTbl34[[#This Row],[Costo Unit.]]</f>
        <v>0</v>
      </c>
      <c r="G248" s="49"/>
    </row>
    <row r="249" spans="1:7" x14ac:dyDescent="0.25">
      <c r="A249" s="43"/>
      <c r="B249" s="49"/>
      <c r="C249" s="49"/>
      <c r="D249" s="70"/>
      <c r="E249" s="70"/>
      <c r="F249" s="70">
        <f>+E249-InventarioTbl34[[#This Row],[Costo Unit.]]</f>
        <v>0</v>
      </c>
      <c r="G249" s="49"/>
    </row>
    <row r="250" spans="1:7" x14ac:dyDescent="0.25">
      <c r="A250" s="43"/>
      <c r="B250" s="49"/>
      <c r="C250" s="49"/>
      <c r="D250" s="70"/>
      <c r="E250" s="70"/>
      <c r="F250" s="70">
        <f>+E250-InventarioTbl34[[#This Row],[Costo Unit.]]</f>
        <v>0</v>
      </c>
      <c r="G250" s="49"/>
    </row>
    <row r="251" spans="1:7" x14ac:dyDescent="0.25">
      <c r="A251" s="43"/>
      <c r="B251" s="49"/>
      <c r="C251" s="49"/>
      <c r="D251" s="70"/>
      <c r="E251" s="70"/>
      <c r="F251" s="70">
        <f>+E251-InventarioTbl34[[#This Row],[Costo Unit.]]</f>
        <v>0</v>
      </c>
      <c r="G251" s="49"/>
    </row>
    <row r="252" spans="1:7" x14ac:dyDescent="0.25">
      <c r="A252" s="43"/>
      <c r="B252" s="49"/>
      <c r="C252" s="49"/>
      <c r="D252" s="70"/>
      <c r="E252" s="70"/>
      <c r="F252" s="70">
        <f>+E252-InventarioTbl34[[#This Row],[Costo Unit.]]</f>
        <v>0</v>
      </c>
      <c r="G252" s="49"/>
    </row>
    <row r="253" spans="1:7" x14ac:dyDescent="0.25">
      <c r="A253" s="43"/>
      <c r="B253" s="49"/>
      <c r="C253" s="49"/>
      <c r="D253" s="70"/>
      <c r="E253" s="70"/>
      <c r="F253" s="70">
        <f>+E253-InventarioTbl34[[#This Row],[Costo Unit.]]</f>
        <v>0</v>
      </c>
      <c r="G253" s="49"/>
    </row>
    <row r="254" spans="1:7" x14ac:dyDescent="0.25">
      <c r="A254" s="43"/>
      <c r="B254" s="49"/>
      <c r="C254" s="49"/>
      <c r="D254" s="70"/>
      <c r="E254" s="70"/>
      <c r="F254" s="70">
        <f>+E254-InventarioTbl34[[#This Row],[Costo Unit.]]</f>
        <v>0</v>
      </c>
      <c r="G254" s="49"/>
    </row>
    <row r="255" spans="1:7" x14ac:dyDescent="0.25">
      <c r="A255" s="43"/>
      <c r="B255" s="49"/>
      <c r="C255" s="49"/>
      <c r="D255" s="70"/>
      <c r="E255" s="70"/>
      <c r="F255" s="70">
        <f>+E255-InventarioTbl34[[#This Row],[Costo Unit.]]</f>
        <v>0</v>
      </c>
      <c r="G255" s="49"/>
    </row>
    <row r="256" spans="1:7" x14ac:dyDescent="0.25">
      <c r="A256" s="43"/>
      <c r="B256" s="49"/>
      <c r="C256" s="49"/>
      <c r="D256" s="70"/>
      <c r="E256" s="70"/>
      <c r="F256" s="70">
        <f>+E256-InventarioTbl34[[#This Row],[Costo Unit.]]</f>
        <v>0</v>
      </c>
      <c r="G256" s="49"/>
    </row>
    <row r="257" spans="1:7" x14ac:dyDescent="0.25">
      <c r="A257" s="43"/>
      <c r="B257" s="49"/>
      <c r="C257" s="49"/>
      <c r="D257" s="70"/>
      <c r="E257" s="70"/>
      <c r="F257" s="70">
        <f>+E257-InventarioTbl34[[#This Row],[Costo Unit.]]</f>
        <v>0</v>
      </c>
      <c r="G257" s="49"/>
    </row>
    <row r="258" spans="1:7" x14ac:dyDescent="0.25">
      <c r="A258" s="43"/>
      <c r="B258" s="49"/>
      <c r="C258" s="49"/>
      <c r="D258" s="70"/>
      <c r="E258" s="70"/>
      <c r="F258" s="70">
        <f>+E258-InventarioTbl34[[#This Row],[Costo Unit.]]</f>
        <v>0</v>
      </c>
      <c r="G258" s="49"/>
    </row>
    <row r="259" spans="1:7" x14ac:dyDescent="0.25">
      <c r="A259" s="43"/>
      <c r="B259" s="49"/>
      <c r="C259" s="49"/>
      <c r="D259" s="70"/>
      <c r="E259" s="70"/>
      <c r="F259" s="70">
        <f>+E259-InventarioTbl34[[#This Row],[Costo Unit.]]</f>
        <v>0</v>
      </c>
      <c r="G259" s="49"/>
    </row>
    <row r="260" spans="1:7" x14ac:dyDescent="0.25">
      <c r="A260" s="43"/>
      <c r="B260" s="49"/>
      <c r="C260" s="49"/>
      <c r="D260" s="70"/>
      <c r="E260" s="70"/>
      <c r="F260" s="70">
        <f>+E260-InventarioTbl34[[#This Row],[Costo Unit.]]</f>
        <v>0</v>
      </c>
      <c r="G260" s="49"/>
    </row>
    <row r="261" spans="1:7" x14ac:dyDescent="0.25">
      <c r="A261" s="43"/>
      <c r="B261" s="49"/>
      <c r="C261" s="49"/>
      <c r="D261" s="70"/>
      <c r="E261" s="70"/>
      <c r="F261" s="70">
        <f>+E261-InventarioTbl34[[#This Row],[Costo Unit.]]</f>
        <v>0</v>
      </c>
      <c r="G261" s="49"/>
    </row>
    <row r="262" spans="1:7" x14ac:dyDescent="0.25">
      <c r="A262" s="43"/>
      <c r="B262" s="49"/>
      <c r="C262" s="49"/>
      <c r="D262" s="70"/>
      <c r="E262" s="70"/>
      <c r="F262" s="70">
        <f>+E262-InventarioTbl34[[#This Row],[Costo Unit.]]</f>
        <v>0</v>
      </c>
      <c r="G262" s="49"/>
    </row>
    <row r="263" spans="1:7" x14ac:dyDescent="0.25">
      <c r="A263" s="43"/>
      <c r="B263" s="49"/>
      <c r="C263" s="49"/>
      <c r="D263" s="70"/>
      <c r="E263" s="70"/>
      <c r="F263" s="70">
        <f>+E263-InventarioTbl34[[#This Row],[Costo Unit.]]</f>
        <v>0</v>
      </c>
      <c r="G263" s="49"/>
    </row>
    <row r="264" spans="1:7" x14ac:dyDescent="0.25">
      <c r="A264" s="43"/>
      <c r="B264" s="49"/>
      <c r="C264" s="49"/>
      <c r="D264" s="70"/>
      <c r="E264" s="70"/>
      <c r="F264" s="70">
        <f>+E264-InventarioTbl34[[#This Row],[Costo Unit.]]</f>
        <v>0</v>
      </c>
      <c r="G264" s="49"/>
    </row>
    <row r="265" spans="1:7" x14ac:dyDescent="0.25">
      <c r="A265" s="43"/>
      <c r="B265" s="49"/>
      <c r="C265" s="49"/>
      <c r="D265" s="70"/>
      <c r="E265" s="70"/>
      <c r="F265" s="70">
        <f>+E265-InventarioTbl34[[#This Row],[Costo Unit.]]</f>
        <v>0</v>
      </c>
      <c r="G265" s="49"/>
    </row>
    <row r="266" spans="1:7" x14ac:dyDescent="0.25">
      <c r="A266" s="43"/>
      <c r="B266" s="49"/>
      <c r="C266" s="49"/>
      <c r="D266" s="70"/>
      <c r="E266" s="70"/>
      <c r="F266" s="70">
        <f>+E266-InventarioTbl34[[#This Row],[Costo Unit.]]</f>
        <v>0</v>
      </c>
      <c r="G266" s="49"/>
    </row>
    <row r="267" spans="1:7" x14ac:dyDescent="0.25">
      <c r="A267" s="43"/>
      <c r="B267" s="49"/>
      <c r="C267" s="49"/>
      <c r="D267" s="70"/>
      <c r="E267" s="70"/>
      <c r="F267" s="70">
        <f>+E267-InventarioTbl34[[#This Row],[Costo Unit.]]</f>
        <v>0</v>
      </c>
      <c r="G267" s="49"/>
    </row>
    <row r="268" spans="1:7" x14ac:dyDescent="0.25">
      <c r="A268" s="43"/>
      <c r="B268" s="49"/>
      <c r="C268" s="49"/>
      <c r="D268" s="70"/>
      <c r="E268" s="70"/>
      <c r="F268" s="70">
        <f>+E268-InventarioTbl34[[#This Row],[Costo Unit.]]</f>
        <v>0</v>
      </c>
      <c r="G268" s="49"/>
    </row>
    <row r="269" spans="1:7" x14ac:dyDescent="0.25">
      <c r="A269" s="43"/>
      <c r="B269" s="49"/>
      <c r="C269" s="49"/>
      <c r="D269" s="70"/>
      <c r="E269" s="70"/>
      <c r="F269" s="70">
        <f>+E269-InventarioTbl34[[#This Row],[Costo Unit.]]</f>
        <v>0</v>
      </c>
      <c r="G269" s="49"/>
    </row>
    <row r="270" spans="1:7" x14ac:dyDescent="0.25">
      <c r="A270" s="43"/>
      <c r="B270" s="49"/>
      <c r="C270" s="49"/>
      <c r="D270" s="70"/>
      <c r="E270" s="70"/>
      <c r="F270" s="70">
        <f>+E270-InventarioTbl34[[#This Row],[Costo Unit.]]</f>
        <v>0</v>
      </c>
      <c r="G270" s="49"/>
    </row>
    <row r="271" spans="1:7" x14ac:dyDescent="0.25">
      <c r="A271" s="43"/>
      <c r="B271" s="49"/>
      <c r="C271" s="49"/>
      <c r="D271" s="70"/>
      <c r="E271" s="70"/>
      <c r="F271" s="70">
        <f>+E271-InventarioTbl34[[#This Row],[Costo Unit.]]</f>
        <v>0</v>
      </c>
      <c r="G271" s="49"/>
    </row>
    <row r="272" spans="1:7" x14ac:dyDescent="0.25">
      <c r="A272" s="43"/>
      <c r="B272" s="49"/>
      <c r="C272" s="49"/>
      <c r="D272" s="70"/>
      <c r="E272" s="70"/>
      <c r="F272" s="70">
        <f>+E272-InventarioTbl34[[#This Row],[Costo Unit.]]</f>
        <v>0</v>
      </c>
      <c r="G272" s="49"/>
    </row>
    <row r="273" spans="1:7" x14ac:dyDescent="0.25">
      <c r="A273" s="43"/>
      <c r="B273" s="49"/>
      <c r="C273" s="49"/>
      <c r="D273" s="70"/>
      <c r="E273" s="70"/>
      <c r="F273" s="70">
        <f>+E273-InventarioTbl34[[#This Row],[Costo Unit.]]</f>
        <v>0</v>
      </c>
      <c r="G273" s="49"/>
    </row>
    <row r="274" spans="1:7" x14ac:dyDescent="0.25">
      <c r="A274" s="43"/>
      <c r="B274" s="49"/>
      <c r="C274" s="49"/>
      <c r="D274" s="70"/>
      <c r="E274" s="70"/>
      <c r="F274" s="70">
        <f>+E274-InventarioTbl34[[#This Row],[Costo Unit.]]</f>
        <v>0</v>
      </c>
      <c r="G274" s="49"/>
    </row>
    <row r="275" spans="1:7" x14ac:dyDescent="0.25">
      <c r="A275" s="43"/>
      <c r="B275" s="49"/>
      <c r="C275" s="49"/>
      <c r="D275" s="70"/>
      <c r="E275" s="70"/>
      <c r="F275" s="70">
        <f>+E275-InventarioTbl34[[#This Row],[Costo Unit.]]</f>
        <v>0</v>
      </c>
      <c r="G275" s="49"/>
    </row>
    <row r="276" spans="1:7" x14ac:dyDescent="0.25">
      <c r="A276" s="43"/>
      <c r="B276" s="49"/>
      <c r="C276" s="49"/>
      <c r="D276" s="70"/>
      <c r="E276" s="70"/>
      <c r="F276" s="70">
        <f>+E276-InventarioTbl34[[#This Row],[Costo Unit.]]</f>
        <v>0</v>
      </c>
      <c r="G276" s="49"/>
    </row>
    <row r="277" spans="1:7" x14ac:dyDescent="0.25">
      <c r="A277" s="43"/>
      <c r="B277" s="49"/>
      <c r="C277" s="49"/>
      <c r="D277" s="70"/>
      <c r="E277" s="70"/>
      <c r="F277" s="70">
        <f>+E277-InventarioTbl34[[#This Row],[Costo Unit.]]</f>
        <v>0</v>
      </c>
      <c r="G277" s="49"/>
    </row>
    <row r="278" spans="1:7" x14ac:dyDescent="0.25">
      <c r="A278" s="43"/>
      <c r="B278" s="49"/>
      <c r="C278" s="49"/>
      <c r="D278" s="70"/>
      <c r="E278" s="70"/>
      <c r="F278" s="70">
        <f>+E278-InventarioTbl34[[#This Row],[Costo Unit.]]</f>
        <v>0</v>
      </c>
      <c r="G278" s="49"/>
    </row>
    <row r="279" spans="1:7" x14ac:dyDescent="0.25">
      <c r="A279" s="43"/>
      <c r="B279" s="49"/>
      <c r="C279" s="49"/>
      <c r="D279" s="70"/>
      <c r="E279" s="70"/>
      <c r="F279" s="70">
        <f>+E279-InventarioTbl34[[#This Row],[Costo Unit.]]</f>
        <v>0</v>
      </c>
      <c r="G279" s="49"/>
    </row>
    <row r="280" spans="1:7" x14ac:dyDescent="0.25">
      <c r="A280" s="43"/>
      <c r="B280" s="49"/>
      <c r="C280" s="49"/>
      <c r="D280" s="70"/>
      <c r="E280" s="70"/>
      <c r="F280" s="70">
        <f>+E280-InventarioTbl34[[#This Row],[Costo Unit.]]</f>
        <v>0</v>
      </c>
      <c r="G280" s="49"/>
    </row>
    <row r="281" spans="1:7" x14ac:dyDescent="0.25">
      <c r="A281" s="43"/>
      <c r="B281" s="49"/>
      <c r="C281" s="49"/>
      <c r="D281" s="70"/>
      <c r="E281" s="70"/>
      <c r="F281" s="70">
        <f>+E281-InventarioTbl34[[#This Row],[Costo Unit.]]</f>
        <v>0</v>
      </c>
      <c r="G281" s="49"/>
    </row>
    <row r="282" spans="1:7" x14ac:dyDescent="0.25">
      <c r="A282" s="43"/>
      <c r="B282" s="49"/>
      <c r="C282" s="49"/>
      <c r="D282" s="70"/>
      <c r="E282" s="70"/>
      <c r="F282" s="70">
        <f>+E282-InventarioTbl34[[#This Row],[Costo Unit.]]</f>
        <v>0</v>
      </c>
      <c r="G282" s="49"/>
    </row>
    <row r="283" spans="1:7" x14ac:dyDescent="0.25">
      <c r="A283" s="43"/>
      <c r="B283" s="49"/>
      <c r="C283" s="49"/>
      <c r="D283" s="70"/>
      <c r="E283" s="70"/>
      <c r="F283" s="70">
        <f>+E283-InventarioTbl34[[#This Row],[Costo Unit.]]</f>
        <v>0</v>
      </c>
      <c r="G283" s="49"/>
    </row>
    <row r="284" spans="1:7" x14ac:dyDescent="0.25">
      <c r="A284" s="43"/>
      <c r="B284" s="49"/>
      <c r="C284" s="49"/>
      <c r="D284" s="70"/>
      <c r="E284" s="70"/>
      <c r="F284" s="70">
        <f>+E284-InventarioTbl34[[#This Row],[Costo Unit.]]</f>
        <v>0</v>
      </c>
      <c r="G284" s="49"/>
    </row>
    <row r="285" spans="1:7" x14ac:dyDescent="0.25">
      <c r="A285" s="43"/>
      <c r="B285" s="49"/>
      <c r="C285" s="49"/>
      <c r="D285" s="70"/>
      <c r="E285" s="70"/>
      <c r="F285" s="70">
        <f>+E285-InventarioTbl34[[#This Row],[Costo Unit.]]</f>
        <v>0</v>
      </c>
      <c r="G285" s="49"/>
    </row>
    <row r="286" spans="1:7" x14ac:dyDescent="0.25">
      <c r="A286" s="43"/>
      <c r="B286" s="49"/>
      <c r="C286" s="49"/>
      <c r="D286" s="70"/>
      <c r="E286" s="70"/>
      <c r="F286" s="70">
        <f>+E286-InventarioTbl34[[#This Row],[Costo Unit.]]</f>
        <v>0</v>
      </c>
      <c r="G286" s="49"/>
    </row>
    <row r="287" spans="1:7" x14ac:dyDescent="0.25">
      <c r="A287" s="43"/>
      <c r="B287" s="49"/>
      <c r="C287" s="49"/>
      <c r="D287" s="70"/>
      <c r="E287" s="70"/>
      <c r="F287" s="70">
        <f>+E287-InventarioTbl34[[#This Row],[Costo Unit.]]</f>
        <v>0</v>
      </c>
      <c r="G287" s="49"/>
    </row>
    <row r="288" spans="1:7" x14ac:dyDescent="0.25">
      <c r="A288" s="43"/>
      <c r="B288" s="49"/>
      <c r="C288" s="49"/>
      <c r="D288" s="70"/>
      <c r="E288" s="70"/>
      <c r="F288" s="70">
        <f>+E288-InventarioTbl34[[#This Row],[Costo Unit.]]</f>
        <v>0</v>
      </c>
      <c r="G288" s="49"/>
    </row>
    <row r="289" spans="1:7" x14ac:dyDescent="0.25">
      <c r="A289" s="43"/>
      <c r="B289" s="49"/>
      <c r="C289" s="49"/>
      <c r="D289" s="70"/>
      <c r="E289" s="70"/>
      <c r="F289" s="70">
        <f>+E289-InventarioTbl34[[#This Row],[Costo Unit.]]</f>
        <v>0</v>
      </c>
      <c r="G289" s="49"/>
    </row>
    <row r="290" spans="1:7" x14ac:dyDescent="0.25">
      <c r="A290" s="43"/>
      <c r="B290" s="49"/>
      <c r="C290" s="49"/>
      <c r="D290" s="70"/>
      <c r="E290" s="70"/>
      <c r="F290" s="70">
        <f>+E290-InventarioTbl34[[#This Row],[Costo Unit.]]</f>
        <v>0</v>
      </c>
      <c r="G290" s="49"/>
    </row>
    <row r="291" spans="1:7" x14ac:dyDescent="0.25">
      <c r="A291" s="43"/>
      <c r="B291" s="49"/>
      <c r="C291" s="49"/>
      <c r="D291" s="70"/>
      <c r="E291" s="70"/>
      <c r="F291" s="70">
        <f>+E291-InventarioTbl34[[#This Row],[Costo Unit.]]</f>
        <v>0</v>
      </c>
      <c r="G291" s="49"/>
    </row>
    <row r="292" spans="1:7" x14ac:dyDescent="0.25">
      <c r="A292" s="43"/>
      <c r="B292" s="49"/>
      <c r="C292" s="49"/>
      <c r="D292" s="70"/>
      <c r="E292" s="70"/>
      <c r="F292" s="70">
        <f>+E292-InventarioTbl34[[#This Row],[Costo Unit.]]</f>
        <v>0</v>
      </c>
      <c r="G292" s="49"/>
    </row>
    <row r="293" spans="1:7" x14ac:dyDescent="0.25">
      <c r="A293" s="43"/>
      <c r="B293" s="49"/>
      <c r="C293" s="49"/>
      <c r="D293" s="70"/>
      <c r="E293" s="70"/>
      <c r="F293" s="70">
        <f>+E293-InventarioTbl34[[#This Row],[Costo Unit.]]</f>
        <v>0</v>
      </c>
      <c r="G293" s="49"/>
    </row>
    <row r="294" spans="1:7" x14ac:dyDescent="0.25">
      <c r="A294" s="43"/>
      <c r="B294" s="49"/>
      <c r="C294" s="49"/>
      <c r="D294" s="70"/>
      <c r="E294" s="70"/>
      <c r="F294" s="70">
        <f>+E294-InventarioTbl34[[#This Row],[Costo Unit.]]</f>
        <v>0</v>
      </c>
      <c r="G294" s="49"/>
    </row>
    <row r="295" spans="1:7" x14ac:dyDescent="0.25">
      <c r="A295" s="43"/>
      <c r="B295" s="49"/>
      <c r="C295" s="49"/>
      <c r="D295" s="70"/>
      <c r="E295" s="70"/>
      <c r="F295" s="70">
        <f>+E295-InventarioTbl34[[#This Row],[Costo Unit.]]</f>
        <v>0</v>
      </c>
      <c r="G295" s="49"/>
    </row>
    <row r="296" spans="1:7" x14ac:dyDescent="0.25">
      <c r="A296" s="43"/>
      <c r="B296" s="49"/>
      <c r="C296" s="49"/>
      <c r="D296" s="70"/>
      <c r="E296" s="70"/>
      <c r="F296" s="70">
        <f>+E296-InventarioTbl34[[#This Row],[Costo Unit.]]</f>
        <v>0</v>
      </c>
      <c r="G296" s="49"/>
    </row>
    <row r="297" spans="1:7" x14ac:dyDescent="0.25">
      <c r="A297" s="43"/>
      <c r="B297" s="49"/>
      <c r="C297" s="49"/>
      <c r="D297" s="70"/>
      <c r="E297" s="70"/>
      <c r="F297" s="70">
        <f>+E297-InventarioTbl34[[#This Row],[Costo Unit.]]</f>
        <v>0</v>
      </c>
      <c r="G297" s="49"/>
    </row>
    <row r="298" spans="1:7" x14ac:dyDescent="0.25">
      <c r="A298" s="43"/>
      <c r="B298" s="49"/>
      <c r="C298" s="49"/>
      <c r="D298" s="70"/>
      <c r="E298" s="70"/>
      <c r="F298" s="70">
        <f>+E298-InventarioTbl34[[#This Row],[Costo Unit.]]</f>
        <v>0</v>
      </c>
      <c r="G298" s="49"/>
    </row>
    <row r="299" spans="1:7" x14ac:dyDescent="0.25">
      <c r="A299" s="43"/>
      <c r="B299" s="49"/>
      <c r="C299" s="49"/>
      <c r="D299" s="70"/>
      <c r="E299" s="70"/>
      <c r="F299" s="70">
        <f>+E299-InventarioTbl34[[#This Row],[Costo Unit.]]</f>
        <v>0</v>
      </c>
      <c r="G299" s="49"/>
    </row>
    <row r="300" spans="1:7" x14ac:dyDescent="0.25">
      <c r="A300" s="43"/>
      <c r="B300" s="49"/>
      <c r="C300" s="49"/>
      <c r="D300" s="70"/>
      <c r="E300" s="70"/>
      <c r="F300" s="70">
        <f>+E300-InventarioTbl34[[#This Row],[Costo Unit.]]</f>
        <v>0</v>
      </c>
      <c r="G300" s="49"/>
    </row>
    <row r="301" spans="1:7" x14ac:dyDescent="0.25">
      <c r="A301" s="43"/>
      <c r="B301" s="49"/>
      <c r="C301" s="49"/>
      <c r="D301" s="70"/>
      <c r="E301" s="70"/>
      <c r="F301" s="70">
        <f>+E301-InventarioTbl34[[#This Row],[Costo Unit.]]</f>
        <v>0</v>
      </c>
      <c r="G301" s="49"/>
    </row>
    <row r="302" spans="1:7" x14ac:dyDescent="0.25">
      <c r="A302" s="43"/>
      <c r="B302" s="49"/>
      <c r="C302" s="49"/>
      <c r="D302" s="70"/>
      <c r="E302" s="70"/>
      <c r="F302" s="70">
        <f>+E302-InventarioTbl34[[#This Row],[Costo Unit.]]</f>
        <v>0</v>
      </c>
      <c r="G302" s="49"/>
    </row>
    <row r="303" spans="1:7" x14ac:dyDescent="0.25">
      <c r="A303" s="43"/>
      <c r="B303" s="49"/>
      <c r="C303" s="49"/>
      <c r="D303" s="70"/>
      <c r="E303" s="70"/>
      <c r="F303" s="70">
        <f>+E303-InventarioTbl34[[#This Row],[Costo Unit.]]</f>
        <v>0</v>
      </c>
      <c r="G303" s="49"/>
    </row>
    <row r="304" spans="1:7" x14ac:dyDescent="0.25">
      <c r="A304" s="43"/>
      <c r="B304" s="49"/>
      <c r="C304" s="49"/>
      <c r="D304" s="70"/>
      <c r="E304" s="70"/>
      <c r="F304" s="70">
        <f>+E304-InventarioTbl34[[#This Row],[Costo Unit.]]</f>
        <v>0</v>
      </c>
      <c r="G304" s="49"/>
    </row>
    <row r="305" spans="1:7" x14ac:dyDescent="0.25">
      <c r="A305" s="43"/>
      <c r="B305" s="49"/>
      <c r="C305" s="49"/>
      <c r="D305" s="70"/>
      <c r="E305" s="70"/>
      <c r="F305" s="70">
        <f>+E305-InventarioTbl34[[#This Row],[Costo Unit.]]</f>
        <v>0</v>
      </c>
      <c r="G305" s="49"/>
    </row>
    <row r="306" spans="1:7" x14ac:dyDescent="0.25">
      <c r="A306" s="43"/>
      <c r="B306" s="49"/>
      <c r="C306" s="49"/>
      <c r="D306" s="70"/>
      <c r="E306" s="70"/>
      <c r="F306" s="70">
        <f>+E306-InventarioTbl34[[#This Row],[Costo Unit.]]</f>
        <v>0</v>
      </c>
      <c r="G306" s="49"/>
    </row>
    <row r="307" spans="1:7" x14ac:dyDescent="0.25">
      <c r="A307" s="43"/>
      <c r="B307" s="49"/>
      <c r="C307" s="49"/>
      <c r="D307" s="70"/>
      <c r="E307" s="70"/>
      <c r="F307" s="70">
        <f>+E307-InventarioTbl34[[#This Row],[Costo Unit.]]</f>
        <v>0</v>
      </c>
      <c r="G307" s="49"/>
    </row>
    <row r="308" spans="1:7" x14ac:dyDescent="0.25">
      <c r="A308" s="43"/>
      <c r="B308" s="49"/>
      <c r="C308" s="49"/>
      <c r="D308" s="70"/>
      <c r="E308" s="70"/>
      <c r="F308" s="70">
        <f>+E308-InventarioTbl34[[#This Row],[Costo Unit.]]</f>
        <v>0</v>
      </c>
      <c r="G308" s="49"/>
    </row>
    <row r="309" spans="1:7" x14ac:dyDescent="0.25">
      <c r="A309" s="43"/>
      <c r="B309" s="49"/>
      <c r="C309" s="49"/>
      <c r="D309" s="70"/>
      <c r="E309" s="70"/>
      <c r="F309" s="70">
        <f>+E309-InventarioTbl34[[#This Row],[Costo Unit.]]</f>
        <v>0</v>
      </c>
      <c r="G309" s="49"/>
    </row>
    <row r="310" spans="1:7" x14ac:dyDescent="0.25">
      <c r="A310" s="43"/>
      <c r="B310" s="49"/>
      <c r="C310" s="49"/>
      <c r="D310" s="70"/>
      <c r="E310" s="70"/>
      <c r="F310" s="70">
        <f>+E310-InventarioTbl34[[#This Row],[Costo Unit.]]</f>
        <v>0</v>
      </c>
      <c r="G310" s="49"/>
    </row>
    <row r="311" spans="1:7" x14ac:dyDescent="0.25">
      <c r="A311" s="43"/>
      <c r="B311" s="49"/>
      <c r="C311" s="49"/>
      <c r="D311" s="70"/>
      <c r="E311" s="70"/>
      <c r="F311" s="70">
        <f>+E311-InventarioTbl34[[#This Row],[Costo Unit.]]</f>
        <v>0</v>
      </c>
      <c r="G311" s="49"/>
    </row>
    <row r="312" spans="1:7" x14ac:dyDescent="0.25">
      <c r="A312" s="43"/>
      <c r="B312" s="49"/>
      <c r="C312" s="49"/>
      <c r="D312" s="70"/>
      <c r="E312" s="70"/>
      <c r="F312" s="70">
        <f>+E312-InventarioTbl34[[#This Row],[Costo Unit.]]</f>
        <v>0</v>
      </c>
      <c r="G312" s="49"/>
    </row>
    <row r="313" spans="1:7" x14ac:dyDescent="0.25">
      <c r="A313" s="43"/>
      <c r="B313" s="49"/>
      <c r="C313" s="49"/>
      <c r="D313" s="70"/>
      <c r="E313" s="70"/>
      <c r="F313" s="70">
        <f>+E313-InventarioTbl34[[#This Row],[Costo Unit.]]</f>
        <v>0</v>
      </c>
      <c r="G313" s="49"/>
    </row>
    <row r="314" spans="1:7" x14ac:dyDescent="0.25">
      <c r="A314" s="43"/>
      <c r="B314" s="49"/>
      <c r="C314" s="49"/>
      <c r="D314" s="70"/>
      <c r="E314" s="70"/>
      <c r="F314" s="70">
        <f>+E314-InventarioTbl34[[#This Row],[Costo Unit.]]</f>
        <v>0</v>
      </c>
      <c r="G314" s="49"/>
    </row>
    <row r="315" spans="1:7" x14ac:dyDescent="0.25">
      <c r="A315" s="43"/>
      <c r="B315" s="49"/>
      <c r="C315" s="49"/>
      <c r="D315" s="70"/>
      <c r="E315" s="70"/>
      <c r="F315" s="70">
        <f>+E315-InventarioTbl34[[#This Row],[Costo Unit.]]</f>
        <v>0</v>
      </c>
      <c r="G315" s="49"/>
    </row>
    <row r="316" spans="1:7" x14ac:dyDescent="0.25">
      <c r="A316" s="43"/>
      <c r="B316" s="49"/>
      <c r="C316" s="49"/>
      <c r="D316" s="70"/>
      <c r="E316" s="70"/>
      <c r="F316" s="70">
        <f>+E316-InventarioTbl34[[#This Row],[Costo Unit.]]</f>
        <v>0</v>
      </c>
      <c r="G316" s="49"/>
    </row>
    <row r="317" spans="1:7" x14ac:dyDescent="0.25">
      <c r="A317" s="43"/>
      <c r="B317" s="49"/>
      <c r="C317" s="49"/>
      <c r="D317" s="70"/>
      <c r="E317" s="70"/>
      <c r="F317" s="70">
        <f>+E317-InventarioTbl34[[#This Row],[Costo Unit.]]</f>
        <v>0</v>
      </c>
      <c r="G317" s="49"/>
    </row>
    <row r="318" spans="1:7" x14ac:dyDescent="0.25">
      <c r="A318" s="43"/>
      <c r="B318" s="49"/>
      <c r="C318" s="49"/>
      <c r="D318" s="70"/>
      <c r="E318" s="70"/>
      <c r="F318" s="70" t="e">
        <f>+#REF!-#REF!</f>
        <v>#REF!</v>
      </c>
      <c r="G318" s="49"/>
    </row>
    <row r="319" spans="1:7" x14ac:dyDescent="0.25">
      <c r="A319" s="43"/>
      <c r="B319" s="49"/>
      <c r="C319" s="49"/>
      <c r="D319" s="70"/>
      <c r="E319" s="70"/>
      <c r="F319" s="70" t="e">
        <f>+#REF!-#REF!</f>
        <v>#REF!</v>
      </c>
      <c r="G319" s="49"/>
    </row>
    <row r="320" spans="1:7" x14ac:dyDescent="0.25">
      <c r="A320" s="43"/>
      <c r="B320" s="49"/>
      <c r="C320" s="49"/>
      <c r="D320" s="70"/>
      <c r="F320" s="74"/>
      <c r="G320" s="55"/>
    </row>
    <row r="321" spans="1:7" x14ac:dyDescent="0.25">
      <c r="A321" s="43"/>
      <c r="B321" s="49"/>
      <c r="C321" s="49"/>
      <c r="D321" s="70"/>
      <c r="F321" s="74"/>
      <c r="G321" s="55"/>
    </row>
    <row r="322" spans="1:7" x14ac:dyDescent="0.25">
      <c r="A322" s="43"/>
      <c r="B322" s="49"/>
      <c r="C322" s="49"/>
      <c r="D322" s="70"/>
      <c r="F322" s="74"/>
      <c r="G322" s="55"/>
    </row>
    <row r="323" spans="1:7" x14ac:dyDescent="0.25">
      <c r="A323" s="43"/>
      <c r="B323" s="49"/>
      <c r="C323" s="49"/>
      <c r="D323" s="70"/>
      <c r="F323" s="74"/>
      <c r="G323" s="55"/>
    </row>
    <row r="324" spans="1:7" x14ac:dyDescent="0.25">
      <c r="A324" s="43"/>
      <c r="B324" s="49"/>
      <c r="C324" s="49"/>
      <c r="D324" s="70"/>
      <c r="G324" s="55"/>
    </row>
    <row r="325" spans="1:7" x14ac:dyDescent="0.25">
      <c r="A325" s="43"/>
      <c r="B325" s="49"/>
      <c r="C325" s="49"/>
      <c r="D325" s="70"/>
      <c r="G325" s="55"/>
    </row>
    <row r="326" spans="1:7" x14ac:dyDescent="0.25">
      <c r="A326" s="43"/>
      <c r="B326" s="49"/>
      <c r="C326" s="49"/>
      <c r="D326" s="70"/>
      <c r="G326" s="55"/>
    </row>
    <row r="327" spans="1:7" x14ac:dyDescent="0.25">
      <c r="A327" s="43"/>
      <c r="B327" s="49"/>
      <c r="C327" s="49"/>
      <c r="D327" s="70"/>
      <c r="G327" s="55"/>
    </row>
    <row r="328" spans="1:7" x14ac:dyDescent="0.25">
      <c r="A328" s="33"/>
      <c r="B328" s="55"/>
      <c r="C328" s="55"/>
      <c r="D328" s="74"/>
      <c r="G328" s="55"/>
    </row>
    <row r="329" spans="1:7" x14ac:dyDescent="0.25">
      <c r="A329" s="33"/>
      <c r="B329" s="55"/>
      <c r="C329" s="55"/>
      <c r="D329" s="74"/>
      <c r="G329" s="55"/>
    </row>
    <row r="330" spans="1:7" x14ac:dyDescent="0.25">
      <c r="A330" s="33"/>
      <c r="B330" s="55"/>
      <c r="C330" s="55"/>
      <c r="D330" s="74"/>
      <c r="G330" s="55"/>
    </row>
    <row r="331" spans="1:7" x14ac:dyDescent="0.25">
      <c r="A331" s="33"/>
      <c r="B331" s="55"/>
      <c r="C331" s="55"/>
      <c r="D331" s="74"/>
      <c r="G331" s="55"/>
    </row>
    <row r="332" spans="1:7" x14ac:dyDescent="0.25">
      <c r="A332" s="33"/>
      <c r="B332" s="55"/>
      <c r="C332" s="55"/>
      <c r="D332" s="74"/>
      <c r="G332" s="55"/>
    </row>
    <row r="333" spans="1:7" x14ac:dyDescent="0.25">
      <c r="A333" s="33"/>
      <c r="B333" s="55"/>
      <c r="C333" s="55"/>
      <c r="D333" s="74"/>
      <c r="G333" s="55"/>
    </row>
    <row r="334" spans="1:7" x14ac:dyDescent="0.25">
      <c r="A334" s="33"/>
      <c r="B334" s="55"/>
      <c r="C334" s="55"/>
      <c r="D334" s="74"/>
      <c r="G334" s="55"/>
    </row>
    <row r="335" spans="1:7" x14ac:dyDescent="0.25">
      <c r="A335" s="33"/>
      <c r="B335" s="55"/>
      <c r="C335" s="55"/>
      <c r="D335" s="74"/>
      <c r="G335" s="55"/>
    </row>
    <row r="336" spans="1:7" x14ac:dyDescent="0.25">
      <c r="A336" s="33"/>
      <c r="B336" s="55"/>
      <c r="C336" s="55"/>
      <c r="D336" s="74"/>
      <c r="G336" s="55"/>
    </row>
    <row r="337" spans="1:7" x14ac:dyDescent="0.25">
      <c r="A337" s="33"/>
      <c r="B337" s="55"/>
      <c r="C337" s="55"/>
      <c r="D337" s="74"/>
      <c r="G337" s="55"/>
    </row>
    <row r="338" spans="1:7" x14ac:dyDescent="0.25">
      <c r="A338" s="33"/>
      <c r="B338" s="55"/>
      <c r="C338" s="55"/>
      <c r="D338" s="74"/>
      <c r="G338" s="55"/>
    </row>
    <row r="339" spans="1:7" x14ac:dyDescent="0.25">
      <c r="A339" s="33"/>
      <c r="B339" s="55"/>
      <c r="C339" s="55"/>
      <c r="D339" s="74"/>
      <c r="G339" s="55"/>
    </row>
    <row r="340" spans="1:7" x14ac:dyDescent="0.25">
      <c r="A340" s="33"/>
      <c r="B340" s="55"/>
      <c r="C340" s="55"/>
      <c r="D340" s="74"/>
      <c r="G340" s="55"/>
    </row>
    <row r="341" spans="1:7" x14ac:dyDescent="0.25">
      <c r="A341" s="33"/>
      <c r="B341" s="55"/>
      <c r="C341" s="55"/>
      <c r="D341" s="74"/>
      <c r="G341" s="55"/>
    </row>
    <row r="342" spans="1:7" x14ac:dyDescent="0.25">
      <c r="A342" s="33"/>
      <c r="B342" s="55"/>
      <c r="C342" s="55"/>
      <c r="D342" s="74"/>
      <c r="G342" s="55"/>
    </row>
    <row r="343" spans="1:7" x14ac:dyDescent="0.25">
      <c r="A343" s="33"/>
      <c r="B343" s="55"/>
      <c r="C343" s="55"/>
      <c r="D343" s="74"/>
      <c r="G343" s="55"/>
    </row>
    <row r="344" spans="1:7" x14ac:dyDescent="0.25">
      <c r="A344" s="33"/>
      <c r="B344" s="55"/>
      <c r="C344" s="55"/>
      <c r="D344" s="74"/>
      <c r="G344" s="55"/>
    </row>
    <row r="345" spans="1:7" x14ac:dyDescent="0.25">
      <c r="A345" s="33"/>
      <c r="B345" s="55"/>
      <c r="C345" s="55"/>
      <c r="D345" s="74"/>
      <c r="G345" s="55"/>
    </row>
    <row r="346" spans="1:7" x14ac:dyDescent="0.25">
      <c r="A346" s="33"/>
      <c r="B346" s="55"/>
      <c r="C346" s="55"/>
      <c r="D346" s="74"/>
      <c r="G346" s="55"/>
    </row>
    <row r="347" spans="1:7" x14ac:dyDescent="0.25">
      <c r="A347" s="33"/>
      <c r="B347" s="55"/>
      <c r="C347" s="55"/>
      <c r="D347" s="74"/>
      <c r="G347" s="55"/>
    </row>
    <row r="348" spans="1:7" x14ac:dyDescent="0.25">
      <c r="A348" s="33"/>
      <c r="B348" s="55"/>
      <c r="C348" s="55"/>
      <c r="D348" s="74"/>
    </row>
    <row r="349" spans="1:7" x14ac:dyDescent="0.25">
      <c r="A349" s="33"/>
      <c r="B349" s="55"/>
      <c r="C349" s="55"/>
      <c r="D349" s="74"/>
    </row>
    <row r="350" spans="1:7" x14ac:dyDescent="0.25">
      <c r="A350" s="33"/>
      <c r="B350" s="55"/>
      <c r="C350" s="55"/>
      <c r="D350" s="74"/>
    </row>
    <row r="351" spans="1:7" x14ac:dyDescent="0.25">
      <c r="A351" s="33"/>
      <c r="B351" s="55"/>
      <c r="C351" s="55"/>
      <c r="D351" s="74"/>
    </row>
    <row r="352" spans="1:7" x14ac:dyDescent="0.25">
      <c r="A352" s="33"/>
      <c r="B352" s="55"/>
      <c r="C352" s="55"/>
      <c r="D352" s="74"/>
    </row>
    <row r="353" spans="1:4" x14ac:dyDescent="0.25">
      <c r="A353" s="33"/>
      <c r="B353" s="55"/>
      <c r="C353" s="55"/>
      <c r="D353" s="74"/>
    </row>
    <row r="354" spans="1:4" x14ac:dyDescent="0.25">
      <c r="A354" s="33"/>
      <c r="B354" s="55"/>
      <c r="C354" s="55"/>
      <c r="D354" s="74"/>
    </row>
    <row r="355" spans="1:4" x14ac:dyDescent="0.25">
      <c r="A355" s="33"/>
      <c r="B355" s="55"/>
      <c r="C355" s="55"/>
      <c r="D355" s="74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8E3CBC-FA40-47BC-BE18-8B34E7BFC783}">
  <dimension ref="A1:G59"/>
  <sheetViews>
    <sheetView topLeftCell="A40" workbookViewId="0">
      <selection activeCell="A49" sqref="A49:XFD49"/>
    </sheetView>
  </sheetViews>
  <sheetFormatPr baseColWidth="10" defaultRowHeight="15" x14ac:dyDescent="0.25"/>
  <cols>
    <col min="1" max="1" width="41.140625" customWidth="1"/>
    <col min="2" max="2" width="15.85546875" customWidth="1"/>
    <col min="3" max="3" width="16.140625" customWidth="1"/>
    <col min="4" max="4" width="16" customWidth="1"/>
    <col min="5" max="5" width="17.140625" customWidth="1"/>
    <col min="6" max="6" width="26.7109375" style="47" customWidth="1"/>
    <col min="7" max="7" width="15.140625" customWidth="1"/>
  </cols>
  <sheetData>
    <row r="1" spans="1:7" x14ac:dyDescent="0.25">
      <c r="A1" s="48" t="s">
        <v>137</v>
      </c>
      <c r="B1" s="36" t="s">
        <v>9</v>
      </c>
      <c r="C1" s="36" t="s">
        <v>10</v>
      </c>
      <c r="D1" s="36" t="s">
        <v>11</v>
      </c>
      <c r="E1" s="36" t="s">
        <v>19</v>
      </c>
      <c r="F1" s="52" t="s">
        <v>169</v>
      </c>
      <c r="G1" s="36" t="s">
        <v>194</v>
      </c>
    </row>
    <row r="2" spans="1:7" ht="15" customHeight="1" x14ac:dyDescent="0.25">
      <c r="A2" s="37" t="s">
        <v>138</v>
      </c>
      <c r="B2" s="38"/>
      <c r="C2" s="38"/>
      <c r="D2" s="38"/>
      <c r="E2" s="38"/>
      <c r="F2" s="168">
        <f>SUM(E4:E58)</f>
        <v>733819.89999999991</v>
      </c>
      <c r="G2" s="38"/>
    </row>
    <row r="3" spans="1:7" ht="15" customHeight="1" x14ac:dyDescent="0.25">
      <c r="A3" s="103" t="s">
        <v>145</v>
      </c>
      <c r="B3" s="49">
        <f>1+6</f>
        <v>7</v>
      </c>
      <c r="C3" s="51">
        <v>4500</v>
      </c>
      <c r="D3" s="50">
        <v>10000</v>
      </c>
      <c r="E3" s="169">
        <f t="shared" ref="E3:E14" si="0">+D3-C3</f>
        <v>5500</v>
      </c>
      <c r="F3" s="171"/>
      <c r="G3" s="40">
        <f>B3-SUMIF(Ventas!D:D,"GOTA Nº20",Ventas!F:F)</f>
        <v>7</v>
      </c>
    </row>
    <row r="4" spans="1:7" ht="15" customHeight="1" x14ac:dyDescent="0.25">
      <c r="A4" s="103" t="s">
        <v>139</v>
      </c>
      <c r="B4" s="49">
        <v>1</v>
      </c>
      <c r="C4" s="51">
        <v>7500</v>
      </c>
      <c r="D4" s="50">
        <v>15000</v>
      </c>
      <c r="E4" s="169">
        <f t="shared" si="0"/>
        <v>7500</v>
      </c>
      <c r="F4" s="172"/>
      <c r="G4" s="40">
        <f>B4-SUMIF(Ventas!D:D,"GOTA Nº25",Ventas!F:F)</f>
        <v>0</v>
      </c>
    </row>
    <row r="5" spans="1:7" ht="15" customHeight="1" x14ac:dyDescent="0.25">
      <c r="A5" s="103" t="s">
        <v>140</v>
      </c>
      <c r="B5" s="49">
        <v>4</v>
      </c>
      <c r="C5" s="51">
        <v>8500</v>
      </c>
      <c r="D5" s="50">
        <v>20000</v>
      </c>
      <c r="E5" s="169">
        <f t="shared" si="0"/>
        <v>11500</v>
      </c>
      <c r="F5" s="172"/>
      <c r="G5" s="40">
        <f>B5-SUMIF(Ventas!D:D,"GOTA Nº30",Ventas!F:F)</f>
        <v>0</v>
      </c>
    </row>
    <row r="6" spans="1:7" ht="15" customHeight="1" x14ac:dyDescent="0.25">
      <c r="A6" s="103" t="s">
        <v>148</v>
      </c>
      <c r="B6" s="49">
        <v>2</v>
      </c>
      <c r="C6" s="51">
        <v>15000</v>
      </c>
      <c r="D6" s="50">
        <v>30000</v>
      </c>
      <c r="E6" s="169">
        <f t="shared" si="0"/>
        <v>15000</v>
      </c>
      <c r="F6" s="172"/>
      <c r="G6" s="40">
        <f>B6-SUMIF(Ventas!D:D,"GOTA Nº35",Ventas!F:F)</f>
        <v>2</v>
      </c>
    </row>
    <row r="7" spans="1:7" ht="15" customHeight="1" x14ac:dyDescent="0.25">
      <c r="A7" s="103" t="s">
        <v>141</v>
      </c>
      <c r="B7" s="49">
        <f>2+2+2</f>
        <v>6</v>
      </c>
      <c r="C7" s="51">
        <v>14000</v>
      </c>
      <c r="D7" s="50">
        <v>40000</v>
      </c>
      <c r="E7" s="169">
        <f t="shared" si="0"/>
        <v>26000</v>
      </c>
      <c r="F7" s="172"/>
      <c r="G7" s="40">
        <f>B7-SUMIF(Ventas!D:D,"GOTA Nº40",Ventas!F:F)</f>
        <v>5</v>
      </c>
    </row>
    <row r="8" spans="1:7" ht="15" customHeight="1" x14ac:dyDescent="0.25">
      <c r="A8" s="103" t="s">
        <v>142</v>
      </c>
      <c r="B8" s="49">
        <f>1+2</f>
        <v>3</v>
      </c>
      <c r="C8" s="51">
        <v>18000</v>
      </c>
      <c r="D8" s="50">
        <v>50000</v>
      </c>
      <c r="E8" s="169">
        <f t="shared" si="0"/>
        <v>32000</v>
      </c>
      <c r="F8" s="172"/>
      <c r="G8" s="40">
        <f>B8-SUMIF(Ventas!D:D,"GOTA Nº50",Ventas!F:F)</f>
        <v>0</v>
      </c>
    </row>
    <row r="9" spans="1:7" ht="15" customHeight="1" x14ac:dyDescent="0.25">
      <c r="A9" s="103" t="s">
        <v>734</v>
      </c>
      <c r="B9" s="49">
        <v>4</v>
      </c>
      <c r="C9" s="51">
        <v>15000</v>
      </c>
      <c r="D9" s="50">
        <v>30000</v>
      </c>
      <c r="E9" s="169">
        <f t="shared" si="0"/>
        <v>15000</v>
      </c>
      <c r="F9" s="172"/>
      <c r="G9" s="40">
        <f>B9-SUMIF(Ventas!D:D,"GOTA LARGA",Ventas!F:F)</f>
        <v>3</v>
      </c>
    </row>
    <row r="10" spans="1:7" ht="15" customHeight="1" x14ac:dyDescent="0.25">
      <c r="A10" s="103" t="s">
        <v>143</v>
      </c>
      <c r="B10" s="49">
        <v>2</v>
      </c>
      <c r="C10" s="51">
        <v>22000</v>
      </c>
      <c r="D10" s="50">
        <v>55000</v>
      </c>
      <c r="E10" s="169">
        <f t="shared" si="0"/>
        <v>33000</v>
      </c>
      <c r="F10" s="172"/>
      <c r="G10" s="40">
        <f>B10-SUMIF(Ventas!D:D,"GOTA Nº50 ANCHA",Ventas!F:F)</f>
        <v>1</v>
      </c>
    </row>
    <row r="11" spans="1:7" ht="15" customHeight="1" x14ac:dyDescent="0.25">
      <c r="A11" s="103" t="s">
        <v>147</v>
      </c>
      <c r="B11" s="49">
        <v>2</v>
      </c>
      <c r="C11" s="51">
        <v>25000</v>
      </c>
      <c r="D11" s="50">
        <v>60000</v>
      </c>
      <c r="E11" s="169">
        <f t="shared" si="0"/>
        <v>35000</v>
      </c>
      <c r="F11" s="172"/>
      <c r="G11" s="40">
        <f>B11-SUMIF(Ventas!D:D,"GOTA Nº65 ANCHA",Ventas!F:F)</f>
        <v>1</v>
      </c>
    </row>
    <row r="12" spans="1:7" ht="15" customHeight="1" x14ac:dyDescent="0.25">
      <c r="A12" s="103" t="s">
        <v>144</v>
      </c>
      <c r="B12" s="49">
        <v>1</v>
      </c>
      <c r="C12" s="51">
        <v>22000</v>
      </c>
      <c r="D12" s="50">
        <v>60000</v>
      </c>
      <c r="E12" s="169">
        <f t="shared" si="0"/>
        <v>38000</v>
      </c>
      <c r="F12" s="172"/>
      <c r="G12" s="40">
        <f>B12-SUMIF(Ventas!D:D,"GOTA Nº67",Ventas!F:F)</f>
        <v>1</v>
      </c>
    </row>
    <row r="13" spans="1:7" ht="15" customHeight="1" x14ac:dyDescent="0.25">
      <c r="A13" s="103" t="s">
        <v>146</v>
      </c>
      <c r="B13" s="49">
        <v>1</v>
      </c>
      <c r="C13" s="51">
        <v>22000</v>
      </c>
      <c r="D13" s="50">
        <v>55000</v>
      </c>
      <c r="E13" s="169">
        <f t="shared" si="0"/>
        <v>33000</v>
      </c>
      <c r="F13" s="172"/>
      <c r="G13" s="40">
        <f>B13-SUMIF(Ventas!D:D,"TIJANA Nº65",Ventas!F:F)</f>
        <v>1</v>
      </c>
    </row>
    <row r="14" spans="1:7" ht="15" customHeight="1" x14ac:dyDescent="0.25">
      <c r="A14" s="104" t="s">
        <v>149</v>
      </c>
      <c r="B14" s="49">
        <v>4</v>
      </c>
      <c r="C14" s="51">
        <v>15500</v>
      </c>
      <c r="D14" s="51">
        <v>25000</v>
      </c>
      <c r="E14" s="169">
        <f t="shared" si="0"/>
        <v>9500</v>
      </c>
      <c r="F14" s="172"/>
      <c r="G14" s="40">
        <f>B14-SUMIF(Ventas!D:D,"ESQUINEROS",Ventas!F:F)</f>
        <v>4</v>
      </c>
    </row>
    <row r="15" spans="1:7" ht="15" customHeight="1" x14ac:dyDescent="0.25">
      <c r="A15" s="37" t="s">
        <v>150</v>
      </c>
      <c r="B15" s="37"/>
      <c r="C15" s="37"/>
      <c r="D15" s="37"/>
      <c r="E15" s="37"/>
      <c r="F15" s="172"/>
      <c r="G15" s="61"/>
    </row>
    <row r="16" spans="1:7" ht="15" customHeight="1" x14ac:dyDescent="0.25">
      <c r="A16" s="103" t="s">
        <v>151</v>
      </c>
      <c r="B16" s="49">
        <v>1</v>
      </c>
      <c r="C16" s="51">
        <v>15000</v>
      </c>
      <c r="D16" s="51">
        <v>40000</v>
      </c>
      <c r="E16" s="129">
        <f>+D16-C16</f>
        <v>25000</v>
      </c>
      <c r="F16" s="172"/>
      <c r="G16" s="40">
        <f>B16-SUMIF(Ventas!D:D,"CUBO 40X40",Ventas!F:F)</f>
        <v>1</v>
      </c>
    </row>
    <row r="17" spans="1:7" ht="15" customHeight="1" x14ac:dyDescent="0.25">
      <c r="A17" s="103" t="s">
        <v>716</v>
      </c>
      <c r="B17" s="49">
        <v>2</v>
      </c>
      <c r="C17" s="51">
        <v>11000</v>
      </c>
      <c r="D17" s="51">
        <v>30000</v>
      </c>
      <c r="E17" s="129">
        <f>+D17-C17</f>
        <v>19000</v>
      </c>
      <c r="F17" s="172"/>
      <c r="G17" s="40">
        <f>B17-SUMIF(Ventas!D:D,"CUBO 35X35",Ventas!F:F)</f>
        <v>2</v>
      </c>
    </row>
    <row r="18" spans="1:7" ht="15" customHeight="1" x14ac:dyDescent="0.25">
      <c r="A18" s="103" t="s">
        <v>152</v>
      </c>
      <c r="B18" s="49">
        <v>2</v>
      </c>
      <c r="C18" s="51">
        <v>6000</v>
      </c>
      <c r="D18" s="51">
        <v>15000</v>
      </c>
      <c r="E18" s="129">
        <f t="shared" ref="E18:E35" si="1">+D18-C18</f>
        <v>9000</v>
      </c>
      <c r="F18" s="172"/>
      <c r="G18" s="40">
        <f>B18-SUMIF(Ventas!D:D,"CUBO 25X25",Ventas!F:F)</f>
        <v>1</v>
      </c>
    </row>
    <row r="19" spans="1:7" ht="15" customHeight="1" x14ac:dyDescent="0.25">
      <c r="A19" s="119" t="s">
        <v>153</v>
      </c>
      <c r="B19" s="49">
        <f>2+4</f>
        <v>6</v>
      </c>
      <c r="C19" s="51">
        <v>4000</v>
      </c>
      <c r="D19" s="51">
        <v>10000</v>
      </c>
      <c r="E19" s="129">
        <f t="shared" si="1"/>
        <v>6000</v>
      </c>
      <c r="F19" s="172"/>
      <c r="G19" s="40">
        <f>B19-SUMIF(Ventas!D:D,"CUBO 15X15",Ventas!F:F)</f>
        <v>5</v>
      </c>
    </row>
    <row r="20" spans="1:7" ht="15" customHeight="1" x14ac:dyDescent="0.25">
      <c r="A20" s="38" t="s">
        <v>721</v>
      </c>
      <c r="B20" s="131"/>
      <c r="C20" s="132"/>
      <c r="D20" s="132"/>
      <c r="E20" s="133"/>
      <c r="F20" s="172"/>
      <c r="G20" s="61"/>
    </row>
    <row r="21" spans="1:7" ht="15" customHeight="1" x14ac:dyDescent="0.25">
      <c r="A21" s="123" t="s">
        <v>722</v>
      </c>
      <c r="B21" s="126">
        <v>2</v>
      </c>
      <c r="C21" s="127">
        <v>10000</v>
      </c>
      <c r="D21" s="127">
        <v>30000</v>
      </c>
      <c r="E21" s="129">
        <f>+D21-C21</f>
        <v>20000</v>
      </c>
      <c r="F21" s="172"/>
      <c r="G21" s="40">
        <f>B21-SUMIF(Ventas!D:D,"CONO N40",Ventas!F:F)</f>
        <v>2</v>
      </c>
    </row>
    <row r="22" spans="1:7" ht="15" customHeight="1" x14ac:dyDescent="0.25">
      <c r="A22" s="118" t="s">
        <v>723</v>
      </c>
      <c r="B22" s="126">
        <v>2</v>
      </c>
      <c r="C22" s="127">
        <v>15000</v>
      </c>
      <c r="D22" s="127">
        <v>40000</v>
      </c>
      <c r="E22" s="129">
        <f>+D22-C22</f>
        <v>25000</v>
      </c>
      <c r="F22" s="172"/>
      <c r="G22" s="40">
        <f>B22-SUMIF(Ventas!D:D,"CONO N55",Ventas!F:F)</f>
        <v>2</v>
      </c>
    </row>
    <row r="23" spans="1:7" ht="15" customHeight="1" x14ac:dyDescent="0.25">
      <c r="A23" s="123" t="s">
        <v>724</v>
      </c>
      <c r="B23" s="126">
        <v>2</v>
      </c>
      <c r="C23" s="127">
        <v>18000</v>
      </c>
      <c r="D23" s="127">
        <v>50000</v>
      </c>
      <c r="E23" s="129">
        <f>+D23-C23</f>
        <v>32000</v>
      </c>
      <c r="F23" s="172"/>
      <c r="G23" s="40">
        <f>B23-SUMIF(Ventas!D:D,"CONO N70",Ventas!F:F)</f>
        <v>2</v>
      </c>
    </row>
    <row r="24" spans="1:7" ht="15" customHeight="1" x14ac:dyDescent="0.25">
      <c r="A24" s="37" t="s">
        <v>154</v>
      </c>
      <c r="B24" s="37"/>
      <c r="C24" s="37"/>
      <c r="D24" s="37"/>
      <c r="E24" s="37"/>
      <c r="F24" s="172"/>
      <c r="G24" s="61"/>
    </row>
    <row r="25" spans="1:7" ht="15" customHeight="1" x14ac:dyDescent="0.25">
      <c r="A25" s="103" t="s">
        <v>155</v>
      </c>
      <c r="B25" s="49">
        <v>1</v>
      </c>
      <c r="C25" s="51">
        <v>19000</v>
      </c>
      <c r="D25" s="51">
        <v>60000</v>
      </c>
      <c r="E25" s="129">
        <f t="shared" si="1"/>
        <v>41000</v>
      </c>
      <c r="F25" s="172"/>
      <c r="G25" s="40">
        <f>B25-SUMIF(Ventas!D:D,"PIRAMIDAL 80X35",Ventas!F:F)</f>
        <v>1</v>
      </c>
    </row>
    <row r="26" spans="1:7" ht="15" customHeight="1" x14ac:dyDescent="0.25">
      <c r="A26" s="103" t="s">
        <v>156</v>
      </c>
      <c r="B26" s="49">
        <v>1</v>
      </c>
      <c r="C26" s="51">
        <v>20000</v>
      </c>
      <c r="D26" s="51">
        <v>55000</v>
      </c>
      <c r="E26" s="129">
        <f t="shared" si="1"/>
        <v>35000</v>
      </c>
      <c r="F26" s="172"/>
      <c r="G26" s="40">
        <f>B26-SUMIF(Ventas!D:D,"PIRAMIDAL 60X50",Ventas!F:F)</f>
        <v>1</v>
      </c>
    </row>
    <row r="27" spans="1:7" ht="15" customHeight="1" x14ac:dyDescent="0.25">
      <c r="A27" s="103" t="s">
        <v>157</v>
      </c>
      <c r="B27" s="49">
        <v>5</v>
      </c>
      <c r="C27" s="51">
        <v>8000</v>
      </c>
      <c r="D27" s="51">
        <v>25000</v>
      </c>
      <c r="E27" s="129">
        <f t="shared" si="1"/>
        <v>17000</v>
      </c>
      <c r="F27" s="172"/>
      <c r="G27" s="40">
        <f>B27-SUMIF(Ventas!D:D,"PIRAMIDAL 40X30",Ventas!F:F)</f>
        <v>1</v>
      </c>
    </row>
    <row r="28" spans="1:7" ht="15" customHeight="1" x14ac:dyDescent="0.25">
      <c r="A28" s="103" t="s">
        <v>158</v>
      </c>
      <c r="B28" s="49">
        <v>2</v>
      </c>
      <c r="C28" s="51">
        <v>6000</v>
      </c>
      <c r="D28" s="51">
        <v>20000</v>
      </c>
      <c r="E28" s="129">
        <f t="shared" si="1"/>
        <v>14000</v>
      </c>
      <c r="F28" s="172"/>
      <c r="G28" s="40">
        <f>B28-SUMIF(Ventas!D:D,"PIRAMIDAL 30X25",Ventas!F:F)</f>
        <v>2</v>
      </c>
    </row>
    <row r="29" spans="1:7" ht="15" customHeight="1" x14ac:dyDescent="0.25">
      <c r="A29" s="103" t="s">
        <v>159</v>
      </c>
      <c r="B29" s="49">
        <v>2</v>
      </c>
      <c r="C29" s="51">
        <v>4000</v>
      </c>
      <c r="D29" s="51">
        <v>15000</v>
      </c>
      <c r="E29" s="129">
        <f t="shared" si="1"/>
        <v>11000</v>
      </c>
      <c r="F29" s="172"/>
      <c r="G29" s="40">
        <f>B29-SUMIF(Ventas!D:D,"PIRAMIDAL 20X20",Ventas!F:F)</f>
        <v>2</v>
      </c>
    </row>
    <row r="30" spans="1:7" ht="15" customHeight="1" x14ac:dyDescent="0.25">
      <c r="A30" s="130" t="s">
        <v>720</v>
      </c>
      <c r="B30" s="126">
        <v>2</v>
      </c>
      <c r="C30" s="127">
        <v>17000</v>
      </c>
      <c r="D30" s="127">
        <v>35000</v>
      </c>
      <c r="E30" s="129">
        <f t="shared" si="1"/>
        <v>18000</v>
      </c>
      <c r="F30" s="172"/>
      <c r="G30" s="40">
        <f>B30-SUMIF(Ventas!D:D,"PIRAMIDAL 70X35",Ventas!F:F)</f>
        <v>2</v>
      </c>
    </row>
    <row r="31" spans="1:7" ht="15" customHeight="1" x14ac:dyDescent="0.25">
      <c r="A31" s="37" t="s">
        <v>160</v>
      </c>
      <c r="B31" s="37"/>
      <c r="C31" s="37"/>
      <c r="D31" s="37"/>
      <c r="E31" s="37"/>
      <c r="F31" s="172"/>
      <c r="G31" s="61"/>
    </row>
    <row r="32" spans="1:7" ht="15" customHeight="1" x14ac:dyDescent="0.25">
      <c r="A32" s="104" t="s">
        <v>161</v>
      </c>
      <c r="B32" s="49">
        <v>2</v>
      </c>
      <c r="C32" s="51">
        <v>9000</v>
      </c>
      <c r="D32" s="51">
        <v>30000</v>
      </c>
      <c r="E32" s="129">
        <f t="shared" si="1"/>
        <v>21000</v>
      </c>
      <c r="F32" s="172"/>
      <c r="G32" s="40">
        <f>B32-SUMIF(Ventas!D:D,"PRISMA 60X20",Ventas!F:F)</f>
        <v>2</v>
      </c>
    </row>
    <row r="33" spans="1:7" ht="15" customHeight="1" x14ac:dyDescent="0.25">
      <c r="A33" s="104" t="s">
        <v>162</v>
      </c>
      <c r="B33" s="49">
        <v>2</v>
      </c>
      <c r="C33" s="51">
        <v>8000</v>
      </c>
      <c r="D33" s="51">
        <v>25000</v>
      </c>
      <c r="E33" s="129">
        <f t="shared" si="1"/>
        <v>17000</v>
      </c>
      <c r="F33" s="172"/>
      <c r="G33" s="40">
        <f>B33-SUMIF(Ventas!D:D,"PRISMA 50X20",Ventas!F:F)</f>
        <v>2</v>
      </c>
    </row>
    <row r="34" spans="1:7" ht="15" customHeight="1" x14ac:dyDescent="0.25">
      <c r="A34" s="104" t="s">
        <v>163</v>
      </c>
      <c r="B34" s="49">
        <f>2+2</f>
        <v>4</v>
      </c>
      <c r="C34" s="51">
        <v>8500</v>
      </c>
      <c r="D34" s="51">
        <v>20000</v>
      </c>
      <c r="E34" s="129">
        <f t="shared" si="1"/>
        <v>11500</v>
      </c>
      <c r="F34" s="172"/>
      <c r="G34" s="40">
        <f>B34-SUMIF(Ventas!D:D,"PRISMA 40X20",Ventas!F:F)</f>
        <v>4</v>
      </c>
    </row>
    <row r="35" spans="1:7" ht="15" customHeight="1" x14ac:dyDescent="0.25">
      <c r="A35" s="104" t="s">
        <v>164</v>
      </c>
      <c r="B35" s="49">
        <v>2</v>
      </c>
      <c r="C35" s="51">
        <v>6000</v>
      </c>
      <c r="D35" s="51">
        <v>15000</v>
      </c>
      <c r="E35" s="129">
        <f t="shared" si="1"/>
        <v>9000</v>
      </c>
      <c r="F35" s="172"/>
      <c r="G35" s="40">
        <f>B35-SUMIF(Ventas!D:D,"PRISMA 30X20",Ventas!F:F)</f>
        <v>1</v>
      </c>
    </row>
    <row r="36" spans="1:7" ht="15" customHeight="1" x14ac:dyDescent="0.25">
      <c r="A36" s="37" t="s">
        <v>165</v>
      </c>
      <c r="B36" s="37"/>
      <c r="C36" s="37"/>
      <c r="D36" s="37"/>
      <c r="E36" s="37"/>
      <c r="F36" s="172"/>
      <c r="G36" s="61"/>
    </row>
    <row r="37" spans="1:7" ht="15" customHeight="1" x14ac:dyDescent="0.25">
      <c r="A37" s="105" t="s">
        <v>166</v>
      </c>
      <c r="B37" s="49">
        <v>2</v>
      </c>
      <c r="C37" s="51">
        <v>12000</v>
      </c>
      <c r="D37" s="50">
        <v>25000</v>
      </c>
      <c r="E37" s="129">
        <f>+D37-C37</f>
        <v>13000</v>
      </c>
      <c r="F37" s="172"/>
      <c r="G37" s="40">
        <f>B37-SUMIF(Ventas!D:D,"JARDINERA 1X20X20",Ventas!F:F)</f>
        <v>2</v>
      </c>
    </row>
    <row r="38" spans="1:7" ht="15" customHeight="1" x14ac:dyDescent="0.25">
      <c r="A38" s="105" t="s">
        <v>168</v>
      </c>
      <c r="B38" s="49">
        <v>1</v>
      </c>
      <c r="C38" s="51">
        <v>7000</v>
      </c>
      <c r="D38" s="50">
        <v>15000</v>
      </c>
      <c r="E38" s="129">
        <f>+D38-C38</f>
        <v>8000</v>
      </c>
      <c r="F38" s="172"/>
      <c r="G38" s="40">
        <f>B38-SUMIF(Ventas!D:D,"JARDINERA 50X20X20",Ventas!F:F)</f>
        <v>-1</v>
      </c>
    </row>
    <row r="39" spans="1:7" ht="14.25" customHeight="1" x14ac:dyDescent="0.25">
      <c r="A39" s="105" t="s">
        <v>167</v>
      </c>
      <c r="B39" s="49">
        <f>1+2</f>
        <v>3</v>
      </c>
      <c r="C39" s="51">
        <v>14000</v>
      </c>
      <c r="D39" s="50">
        <v>30000</v>
      </c>
      <c r="E39" s="129">
        <f>+D39-C39</f>
        <v>16000</v>
      </c>
      <c r="F39" s="172"/>
      <c r="G39" s="40">
        <f>B39-SUMIF(Ventas!D:D,"JARDINERA 80X30X30",Ventas!F:F)</f>
        <v>3</v>
      </c>
    </row>
    <row r="40" spans="1:7" ht="15" customHeight="1" x14ac:dyDescent="0.25">
      <c r="A40" s="125" t="s">
        <v>718</v>
      </c>
      <c r="B40" s="126">
        <v>1</v>
      </c>
      <c r="C40" s="127">
        <v>19500</v>
      </c>
      <c r="D40" s="128">
        <v>50000</v>
      </c>
      <c r="E40" s="129">
        <f>+D40-C40</f>
        <v>30500</v>
      </c>
      <c r="F40" s="172"/>
      <c r="G40" s="40">
        <f>B40-SUMIF(Ventas!D:D,"JARDINERA 1X22X40",Ventas!F:F)</f>
        <v>1</v>
      </c>
    </row>
    <row r="41" spans="1:7" ht="15" customHeight="1" x14ac:dyDescent="0.25">
      <c r="A41" s="125" t="s">
        <v>719</v>
      </c>
      <c r="B41" s="126">
        <v>2</v>
      </c>
      <c r="C41" s="127">
        <v>11000</v>
      </c>
      <c r="D41" s="128">
        <v>25000</v>
      </c>
      <c r="E41" s="129">
        <f>+D41-C41</f>
        <v>14000</v>
      </c>
      <c r="F41" s="172"/>
      <c r="G41" s="40">
        <f>B41-SUMIF(Ventas!D:D,"JARDINERA 60X22X30",Ventas!F:F)</f>
        <v>2</v>
      </c>
    </row>
    <row r="42" spans="1:7" x14ac:dyDescent="0.25">
      <c r="A42" s="37" t="s">
        <v>609</v>
      </c>
      <c r="B42" s="37"/>
      <c r="C42" s="37"/>
      <c r="D42" s="37"/>
      <c r="E42" s="37"/>
      <c r="F42" s="124"/>
      <c r="G42" s="61"/>
    </row>
    <row r="43" spans="1:7" x14ac:dyDescent="0.25">
      <c r="A43" s="105" t="s">
        <v>608</v>
      </c>
      <c r="B43" s="49">
        <v>5</v>
      </c>
      <c r="C43" s="50">
        <f>1690.8+1000</f>
        <v>2690.8</v>
      </c>
      <c r="D43" s="50">
        <v>5500</v>
      </c>
      <c r="E43" s="128">
        <f>+D43-C43</f>
        <v>2809.2</v>
      </c>
      <c r="F43" s="124"/>
      <c r="G43" s="40">
        <f>B43-SUMIF(Ventas!D:D,"JARDINERA ROCIO N35",Ventas!F:F)</f>
        <v>5</v>
      </c>
    </row>
    <row r="44" spans="1:7" x14ac:dyDescent="0.25">
      <c r="A44" s="105" t="s">
        <v>607</v>
      </c>
      <c r="B44" s="173">
        <v>4</v>
      </c>
      <c r="C44" s="50">
        <f>2368.44+1000</f>
        <v>3368.44</v>
      </c>
      <c r="D44" s="50">
        <v>6500</v>
      </c>
      <c r="E44" s="128">
        <f t="shared" ref="E44:E59" si="2">+D44-C44</f>
        <v>3131.56</v>
      </c>
      <c r="F44" s="124"/>
      <c r="G44" s="40">
        <f>B44-SUMIF(Ventas!D:D,"JARDINERA ROCIO N45",Ventas!F:F)</f>
        <v>2</v>
      </c>
    </row>
    <row r="45" spans="1:7" x14ac:dyDescent="0.25">
      <c r="A45" s="105" t="s">
        <v>606</v>
      </c>
      <c r="B45" s="49">
        <v>3</v>
      </c>
      <c r="C45" s="50">
        <f>3682.92+1000</f>
        <v>4682.92</v>
      </c>
      <c r="D45" s="50">
        <v>9000</v>
      </c>
      <c r="E45" s="128">
        <f t="shared" si="2"/>
        <v>4317.08</v>
      </c>
      <c r="F45" s="124"/>
      <c r="G45" s="40">
        <f>B45-SUMIF(Ventas!D:D,"JARDINERA ROCIO N55",Ventas!F:F)</f>
        <v>3</v>
      </c>
    </row>
    <row r="46" spans="1:7" x14ac:dyDescent="0.25">
      <c r="A46" s="105" t="s">
        <v>605</v>
      </c>
      <c r="B46" s="49">
        <v>2</v>
      </c>
      <c r="C46" s="50">
        <f>966.31+1000</f>
        <v>1966.31</v>
      </c>
      <c r="D46" s="50">
        <v>4000</v>
      </c>
      <c r="E46" s="128">
        <f t="shared" si="2"/>
        <v>2033.69</v>
      </c>
      <c r="F46" s="124"/>
      <c r="G46" s="40">
        <f>B46-SUMIF(Ventas!D:D,"PREMIUM REDONDA N12",Ventas!F:F)</f>
        <v>2</v>
      </c>
    </row>
    <row r="47" spans="1:7" x14ac:dyDescent="0.25">
      <c r="A47" s="105" t="s">
        <v>604</v>
      </c>
      <c r="B47" s="49">
        <v>5</v>
      </c>
      <c r="C47" s="50">
        <f>2040.51+1000</f>
        <v>3040.51</v>
      </c>
      <c r="D47" s="50">
        <v>6000</v>
      </c>
      <c r="E47" s="128">
        <f t="shared" si="2"/>
        <v>2959.49</v>
      </c>
      <c r="F47" s="124"/>
      <c r="G47" s="40">
        <f>B47-SUMIF(Ventas!D:D,"PREMIUM REDONDA N18",Ventas!F:F)</f>
        <v>5</v>
      </c>
    </row>
    <row r="48" spans="1:7" x14ac:dyDescent="0.25">
      <c r="A48" s="105" t="s">
        <v>603</v>
      </c>
      <c r="B48" s="49">
        <v>4</v>
      </c>
      <c r="C48" s="50">
        <f>506.61+1000</f>
        <v>1506.6100000000001</v>
      </c>
      <c r="D48" s="50">
        <v>3000</v>
      </c>
      <c r="E48" s="128">
        <f t="shared" si="2"/>
        <v>1493.3899999999999</v>
      </c>
      <c r="F48" s="124"/>
      <c r="G48" s="40">
        <f>B48-SUMIF(Ventas!D:D,"PIRAMIDAL OWEN N25",Ventas!F:F)</f>
        <v>4</v>
      </c>
    </row>
    <row r="49" spans="1:7" x14ac:dyDescent="0.25">
      <c r="A49" s="105" t="s">
        <v>602</v>
      </c>
      <c r="B49" s="173">
        <v>5</v>
      </c>
      <c r="C49" s="50">
        <f>4252.68+1000</f>
        <v>5252.68</v>
      </c>
      <c r="D49" s="50">
        <v>10500</v>
      </c>
      <c r="E49" s="128">
        <f t="shared" si="2"/>
        <v>5247.32</v>
      </c>
      <c r="F49" s="124"/>
      <c r="G49" s="40">
        <f>B49-SUMIF(Ventas!D:D,"PIRAMIDAL OWEN N25",Ventas!F:F)</f>
        <v>5</v>
      </c>
    </row>
    <row r="50" spans="1:7" x14ac:dyDescent="0.25">
      <c r="A50" s="105" t="s">
        <v>601</v>
      </c>
      <c r="B50" s="49">
        <v>6</v>
      </c>
      <c r="C50" s="50">
        <f>1828.38+1000</f>
        <v>2828.38</v>
      </c>
      <c r="D50" s="50">
        <v>5500</v>
      </c>
      <c r="E50" s="128">
        <f t="shared" si="2"/>
        <v>2671.62</v>
      </c>
      <c r="F50" s="124"/>
      <c r="G50" s="40">
        <f>B50-SUMIF(Ventas!D:D,"PIRAMIDAL OWEN N15",Ventas!F:F)</f>
        <v>6</v>
      </c>
    </row>
    <row r="51" spans="1:7" x14ac:dyDescent="0.25">
      <c r="A51" s="105" t="s">
        <v>600</v>
      </c>
      <c r="B51" s="49">
        <v>6</v>
      </c>
      <c r="C51" s="50">
        <f>1716.84+1000</f>
        <v>2716.84</v>
      </c>
      <c r="D51" s="50">
        <v>6500</v>
      </c>
      <c r="E51" s="128">
        <f t="shared" si="2"/>
        <v>3783.16</v>
      </c>
      <c r="F51" s="124"/>
      <c r="G51" s="40">
        <f>B51-SUMIF(Ventas!D:D,"PARIS N18",Ventas!F:F)</f>
        <v>0</v>
      </c>
    </row>
    <row r="52" spans="1:7" x14ac:dyDescent="0.25">
      <c r="A52" s="105" t="s">
        <v>599</v>
      </c>
      <c r="B52" s="49">
        <v>5</v>
      </c>
      <c r="C52" s="50">
        <f>5159.91+1000</f>
        <v>6159.91</v>
      </c>
      <c r="D52" s="50">
        <v>12000</v>
      </c>
      <c r="E52" s="128">
        <f t="shared" si="2"/>
        <v>5840.09</v>
      </c>
      <c r="F52" s="124"/>
      <c r="G52" s="40">
        <f>B52-SUMIF(Ventas!D:D,"PARIS N27",Ventas!F:F)</f>
        <v>2</v>
      </c>
    </row>
    <row r="53" spans="1:7" x14ac:dyDescent="0.25">
      <c r="A53" s="105" t="s">
        <v>610</v>
      </c>
      <c r="B53" s="49">
        <v>3</v>
      </c>
      <c r="C53" s="50">
        <f>3611.94+1000</f>
        <v>4611.9400000000005</v>
      </c>
      <c r="D53" s="50">
        <v>9500</v>
      </c>
      <c r="E53" s="128">
        <f>+D53-C53</f>
        <v>4888.0599999999995</v>
      </c>
      <c r="F53" s="124"/>
      <c r="G53" s="40">
        <f>B53-SUMIF(Ventas!D:D,"DIAMANTE N25",Ventas!F:F)</f>
        <v>2</v>
      </c>
    </row>
    <row r="54" spans="1:7" ht="15.75" customHeight="1" x14ac:dyDescent="0.25">
      <c r="A54" s="105" t="s">
        <v>611</v>
      </c>
      <c r="B54" s="173">
        <v>4</v>
      </c>
      <c r="C54" s="50">
        <f>1107.04+1000</f>
        <v>2107.04</v>
      </c>
      <c r="D54" s="50">
        <v>4500</v>
      </c>
      <c r="E54" s="128">
        <f t="shared" si="2"/>
        <v>2392.96</v>
      </c>
      <c r="F54" s="124"/>
      <c r="G54" s="40">
        <f>B54-SUMIF(Ventas!D:D,"DIAMANTE N15",Ventas!F:F)</f>
        <v>2</v>
      </c>
    </row>
    <row r="55" spans="1:7" x14ac:dyDescent="0.25">
      <c r="A55" s="105" t="s">
        <v>598</v>
      </c>
      <c r="B55" s="173">
        <v>8</v>
      </c>
      <c r="C55" s="50">
        <f>3002.13+1000</f>
        <v>4002.13</v>
      </c>
      <c r="D55" s="50">
        <v>8000</v>
      </c>
      <c r="E55" s="128">
        <f t="shared" si="2"/>
        <v>3997.87</v>
      </c>
      <c r="F55" s="124"/>
      <c r="G55" s="40">
        <f>B55-SUMIF(Ventas!D:D,"MILAN N20",Ventas!F:F)</f>
        <v>4</v>
      </c>
    </row>
    <row r="56" spans="1:7" x14ac:dyDescent="0.25">
      <c r="A56" s="105" t="s">
        <v>597</v>
      </c>
      <c r="B56" s="49">
        <v>10</v>
      </c>
      <c r="C56" s="50">
        <f>172.37+1000</f>
        <v>1172.3699999999999</v>
      </c>
      <c r="D56" s="50">
        <v>2000</v>
      </c>
      <c r="E56" s="128">
        <f t="shared" si="2"/>
        <v>827.63000000000011</v>
      </c>
      <c r="F56" s="124"/>
      <c r="G56" s="40">
        <f>B56-SUMIF(Ventas!D:D,"ROCIO N10",Ventas!F:F)</f>
        <v>10</v>
      </c>
    </row>
    <row r="57" spans="1:7" x14ac:dyDescent="0.25">
      <c r="A57" s="105" t="s">
        <v>596</v>
      </c>
      <c r="B57" s="49">
        <v>6</v>
      </c>
      <c r="C57" s="50">
        <f>2204.7+1000</f>
        <v>3204.7</v>
      </c>
      <c r="D57" s="50">
        <v>6500</v>
      </c>
      <c r="E57" s="128">
        <f t="shared" si="2"/>
        <v>3295.3</v>
      </c>
      <c r="F57" s="124"/>
      <c r="G57" s="40">
        <f>B57-SUMIF(Ventas!D:D,"VENECIA N17",Ventas!F:F)</f>
        <v>3</v>
      </c>
    </row>
    <row r="58" spans="1:7" x14ac:dyDescent="0.25">
      <c r="A58" s="119" t="s">
        <v>612</v>
      </c>
      <c r="B58" s="120">
        <v>5</v>
      </c>
      <c r="C58" s="121">
        <f>12368.52+1000</f>
        <v>13368.52</v>
      </c>
      <c r="D58" s="121">
        <v>30000</v>
      </c>
      <c r="E58" s="170">
        <f t="shared" si="2"/>
        <v>16631.48</v>
      </c>
      <c r="F58" s="124"/>
      <c r="G58" s="122">
        <f>B58-SUMIF(Ventas!D:D,"PIRAMIDAL N45 CON RUEDAS",Ventas!F:F)</f>
        <v>3</v>
      </c>
    </row>
    <row r="59" spans="1:7" x14ac:dyDescent="0.25">
      <c r="A59" s="123" t="s">
        <v>717</v>
      </c>
      <c r="B59" s="49">
        <v>3</v>
      </c>
      <c r="C59" s="2">
        <v>0</v>
      </c>
      <c r="D59" s="50">
        <v>8000</v>
      </c>
      <c r="E59" s="128">
        <f t="shared" si="2"/>
        <v>8000</v>
      </c>
      <c r="F59" s="124"/>
      <c r="G59" s="40">
        <f>B59-SUMIF(Ventas!D:D,"COLGANTE PLASTICA",Ventas!F:F)</f>
        <v>0</v>
      </c>
    </row>
  </sheetData>
  <phoneticPr fontId="6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807"/>
  <sheetViews>
    <sheetView topLeftCell="A631" workbookViewId="0">
      <selection activeCell="J2" sqref="J2"/>
    </sheetView>
  </sheetViews>
  <sheetFormatPr baseColWidth="10" defaultColWidth="9.140625" defaultRowHeight="15" x14ac:dyDescent="0.25"/>
  <cols>
    <col min="1" max="1" width="10.7109375" customWidth="1"/>
    <col min="2" max="2" width="30.140625" customWidth="1"/>
    <col min="3" max="3" width="18.5703125" customWidth="1"/>
    <col min="4" max="4" width="33.7109375" customWidth="1"/>
    <col min="7" max="7" width="12.7109375" customWidth="1"/>
    <col min="8" max="8" width="14.42578125" customWidth="1"/>
    <col min="9" max="9" width="16.7109375" customWidth="1"/>
    <col min="10" max="10" width="19.5703125" customWidth="1"/>
    <col min="11" max="11" width="12" bestFit="1" customWidth="1"/>
  </cols>
  <sheetData>
    <row r="1" spans="1:10" x14ac:dyDescent="0.25">
      <c r="A1" s="22" t="s">
        <v>12</v>
      </c>
      <c r="B1" s="22" t="s">
        <v>20</v>
      </c>
      <c r="C1" s="22" t="s">
        <v>21</v>
      </c>
      <c r="D1" s="22" t="s">
        <v>7</v>
      </c>
      <c r="E1" s="22" t="s">
        <v>8</v>
      </c>
      <c r="F1" s="22" t="s">
        <v>9</v>
      </c>
      <c r="G1" s="22" t="s">
        <v>13</v>
      </c>
      <c r="H1" s="22" t="s">
        <v>14</v>
      </c>
      <c r="I1" s="23" t="s">
        <v>54</v>
      </c>
      <c r="J1" s="23" t="s">
        <v>129</v>
      </c>
    </row>
    <row r="2" spans="1:10" x14ac:dyDescent="0.25">
      <c r="A2" s="18">
        <v>46243</v>
      </c>
      <c r="B2" s="17" t="s">
        <v>51</v>
      </c>
      <c r="C2" s="17"/>
      <c r="D2" s="20" t="s">
        <v>253</v>
      </c>
      <c r="E2" s="20" t="s">
        <v>53</v>
      </c>
      <c r="F2" s="67">
        <v>2</v>
      </c>
      <c r="G2" s="21">
        <v>18000</v>
      </c>
      <c r="H2" s="19">
        <f>F2*G2</f>
        <v>36000</v>
      </c>
      <c r="I2" s="140">
        <f>+H2+H3</f>
        <v>96000</v>
      </c>
      <c r="J2" s="80">
        <f>SUM(I2:I655)</f>
        <v>8839400</v>
      </c>
    </row>
    <row r="3" spans="1:10" x14ac:dyDescent="0.25">
      <c r="A3" s="18">
        <v>46243</v>
      </c>
      <c r="B3" s="17" t="s">
        <v>51</v>
      </c>
      <c r="C3" s="17"/>
      <c r="D3" s="20" t="s">
        <v>52</v>
      </c>
      <c r="E3" s="20" t="s">
        <v>53</v>
      </c>
      <c r="F3" s="67">
        <v>3</v>
      </c>
      <c r="G3" s="21">
        <v>20000</v>
      </c>
      <c r="H3" s="19">
        <f t="shared" ref="H3:H37" si="0">F3*G3</f>
        <v>60000</v>
      </c>
      <c r="I3" s="161"/>
      <c r="J3" s="81"/>
    </row>
    <row r="4" spans="1:10" x14ac:dyDescent="0.25">
      <c r="A4" s="18">
        <v>46247</v>
      </c>
      <c r="B4" s="20" t="s">
        <v>122</v>
      </c>
      <c r="C4" s="17"/>
      <c r="D4" s="20" t="s">
        <v>81</v>
      </c>
      <c r="E4" s="20" t="s">
        <v>120</v>
      </c>
      <c r="F4" s="67">
        <v>1</v>
      </c>
      <c r="G4" s="21">
        <v>8000</v>
      </c>
      <c r="H4" s="19">
        <f t="shared" si="0"/>
        <v>8000</v>
      </c>
      <c r="I4" s="46">
        <f>+H4</f>
        <v>8000</v>
      </c>
      <c r="J4" s="81"/>
    </row>
    <row r="5" spans="1:10" x14ac:dyDescent="0.25">
      <c r="A5" s="18">
        <v>46248</v>
      </c>
      <c r="B5" s="20" t="s">
        <v>121</v>
      </c>
      <c r="C5" s="17"/>
      <c r="D5" s="20" t="s">
        <v>119</v>
      </c>
      <c r="E5" s="20" t="s">
        <v>53</v>
      </c>
      <c r="F5" s="67">
        <v>1</v>
      </c>
      <c r="G5" s="21">
        <v>8000</v>
      </c>
      <c r="H5" s="19">
        <f t="shared" si="0"/>
        <v>8000</v>
      </c>
      <c r="I5" s="157">
        <f>+H5+H7+H8+H6</f>
        <v>28800</v>
      </c>
      <c r="J5" s="81"/>
    </row>
    <row r="6" spans="1:10" x14ac:dyDescent="0.25">
      <c r="A6" s="18">
        <v>46248</v>
      </c>
      <c r="B6" s="20" t="s">
        <v>122</v>
      </c>
      <c r="C6" s="17"/>
      <c r="D6" s="20" t="s">
        <v>128</v>
      </c>
      <c r="E6" s="20">
        <v>0.5</v>
      </c>
      <c r="F6" s="67">
        <v>1</v>
      </c>
      <c r="G6" s="21">
        <v>2000</v>
      </c>
      <c r="H6" s="19">
        <f t="shared" si="0"/>
        <v>2000</v>
      </c>
      <c r="I6" s="158"/>
      <c r="J6" s="81"/>
    </row>
    <row r="7" spans="1:10" x14ac:dyDescent="0.25">
      <c r="A7" s="18">
        <v>46248</v>
      </c>
      <c r="B7" s="20" t="s">
        <v>122</v>
      </c>
      <c r="C7" s="17"/>
      <c r="D7" s="20" t="s">
        <v>123</v>
      </c>
      <c r="E7" s="20" t="s">
        <v>124</v>
      </c>
      <c r="F7" s="67">
        <v>1</v>
      </c>
      <c r="G7" s="21">
        <v>8800</v>
      </c>
      <c r="H7" s="19">
        <f t="shared" si="0"/>
        <v>8800</v>
      </c>
      <c r="I7" s="158"/>
      <c r="J7" s="81"/>
    </row>
    <row r="8" spans="1:10" x14ac:dyDescent="0.25">
      <c r="A8" s="18">
        <v>46248</v>
      </c>
      <c r="B8" s="20" t="s">
        <v>122</v>
      </c>
      <c r="C8" s="17"/>
      <c r="D8" s="20" t="s">
        <v>125</v>
      </c>
      <c r="E8" s="20" t="s">
        <v>124</v>
      </c>
      <c r="F8" s="67">
        <v>1</v>
      </c>
      <c r="G8" s="21">
        <v>10000</v>
      </c>
      <c r="H8" s="19">
        <f t="shared" si="0"/>
        <v>10000</v>
      </c>
      <c r="I8" s="159"/>
      <c r="J8" s="81"/>
    </row>
    <row r="9" spans="1:10" x14ac:dyDescent="0.25">
      <c r="A9" s="18">
        <v>46249</v>
      </c>
      <c r="B9" s="20" t="s">
        <v>122</v>
      </c>
      <c r="C9" s="17"/>
      <c r="D9" s="20" t="s">
        <v>45</v>
      </c>
      <c r="E9" s="20" t="s">
        <v>126</v>
      </c>
      <c r="F9" s="67">
        <v>1</v>
      </c>
      <c r="G9" s="21">
        <v>6000</v>
      </c>
      <c r="H9" s="19">
        <f t="shared" si="0"/>
        <v>6000</v>
      </c>
      <c r="I9" s="157">
        <f>+H9+H10+H11</f>
        <v>11000</v>
      </c>
      <c r="J9" s="81"/>
    </row>
    <row r="10" spans="1:10" x14ac:dyDescent="0.25">
      <c r="A10" s="18">
        <v>46249</v>
      </c>
      <c r="B10" s="20" t="s">
        <v>122</v>
      </c>
      <c r="C10" s="17"/>
      <c r="D10" s="20" t="s">
        <v>201</v>
      </c>
      <c r="E10" s="20" t="s">
        <v>127</v>
      </c>
      <c r="F10" s="67">
        <v>1</v>
      </c>
      <c r="G10" s="21">
        <v>2500</v>
      </c>
      <c r="H10" s="19">
        <f t="shared" si="0"/>
        <v>2500</v>
      </c>
      <c r="I10" s="158"/>
      <c r="J10" s="81"/>
    </row>
    <row r="11" spans="1:10" x14ac:dyDescent="0.25">
      <c r="A11" s="18">
        <v>46249</v>
      </c>
      <c r="B11" s="20" t="s">
        <v>122</v>
      </c>
      <c r="C11" s="17"/>
      <c r="D11" s="20" t="s">
        <v>130</v>
      </c>
      <c r="E11" s="20" t="s">
        <v>127</v>
      </c>
      <c r="F11" s="67">
        <v>1</v>
      </c>
      <c r="G11" s="21">
        <v>2500</v>
      </c>
      <c r="H11" s="19">
        <f t="shared" si="0"/>
        <v>2500</v>
      </c>
      <c r="I11" s="159"/>
      <c r="J11" s="81"/>
    </row>
    <row r="12" spans="1:10" x14ac:dyDescent="0.25">
      <c r="A12" s="18">
        <v>46250</v>
      </c>
      <c r="B12" s="20" t="s">
        <v>131</v>
      </c>
      <c r="C12" s="17"/>
      <c r="D12" s="20" t="s">
        <v>200</v>
      </c>
      <c r="E12" s="20">
        <v>0.5</v>
      </c>
      <c r="F12" s="67">
        <v>1</v>
      </c>
      <c r="G12" s="21">
        <v>3000</v>
      </c>
      <c r="H12" s="19">
        <f t="shared" si="0"/>
        <v>3000</v>
      </c>
      <c r="I12" s="157">
        <f>+H12+H13+H14+H15+H16</f>
        <v>28000</v>
      </c>
      <c r="J12" s="81"/>
    </row>
    <row r="13" spans="1:10" x14ac:dyDescent="0.25">
      <c r="A13" s="18">
        <v>46250</v>
      </c>
      <c r="B13" s="20" t="s">
        <v>131</v>
      </c>
      <c r="C13" s="17"/>
      <c r="D13" s="20" t="s">
        <v>204</v>
      </c>
      <c r="E13" s="20" t="s">
        <v>126</v>
      </c>
      <c r="F13" s="67">
        <v>1</v>
      </c>
      <c r="G13" s="21">
        <v>12000</v>
      </c>
      <c r="H13" s="19">
        <f t="shared" si="0"/>
        <v>12000</v>
      </c>
      <c r="I13" s="158"/>
      <c r="J13" s="81"/>
    </row>
    <row r="14" spans="1:10" x14ac:dyDescent="0.25">
      <c r="A14" s="18">
        <v>46250</v>
      </c>
      <c r="B14" s="20" t="s">
        <v>131</v>
      </c>
      <c r="C14" s="17"/>
      <c r="D14" s="20" t="s">
        <v>259</v>
      </c>
      <c r="E14" s="20" t="s">
        <v>53</v>
      </c>
      <c r="F14" s="67">
        <v>1</v>
      </c>
      <c r="G14" s="21">
        <v>3000</v>
      </c>
      <c r="H14" s="19">
        <f t="shared" si="0"/>
        <v>3000</v>
      </c>
      <c r="I14" s="158"/>
      <c r="J14" s="81"/>
    </row>
    <row r="15" spans="1:10" x14ac:dyDescent="0.25">
      <c r="A15" s="18">
        <v>46250</v>
      </c>
      <c r="B15" s="20" t="s">
        <v>132</v>
      </c>
      <c r="C15" s="17"/>
      <c r="D15" s="20" t="s">
        <v>81</v>
      </c>
      <c r="E15" s="20" t="s">
        <v>133</v>
      </c>
      <c r="F15" s="67">
        <v>1</v>
      </c>
      <c r="G15" s="21">
        <v>8000</v>
      </c>
      <c r="H15" s="19">
        <f t="shared" si="0"/>
        <v>8000</v>
      </c>
      <c r="I15" s="158"/>
      <c r="J15" s="81"/>
    </row>
    <row r="16" spans="1:10" x14ac:dyDescent="0.25">
      <c r="A16" s="18">
        <v>46250</v>
      </c>
      <c r="B16" s="20" t="s">
        <v>132</v>
      </c>
      <c r="C16" s="17"/>
      <c r="D16" s="20" t="s">
        <v>134</v>
      </c>
      <c r="E16" s="20" t="s">
        <v>135</v>
      </c>
      <c r="F16" s="67">
        <v>1</v>
      </c>
      <c r="G16" s="21">
        <v>2000</v>
      </c>
      <c r="H16" s="19">
        <f t="shared" si="0"/>
        <v>2000</v>
      </c>
      <c r="I16" s="159"/>
      <c r="J16" s="81"/>
    </row>
    <row r="17" spans="1:10" x14ac:dyDescent="0.25">
      <c r="A17" s="18">
        <v>46251</v>
      </c>
      <c r="B17" s="20" t="s">
        <v>136</v>
      </c>
      <c r="C17" s="17"/>
      <c r="D17" s="20" t="s">
        <v>44</v>
      </c>
      <c r="E17" s="20" t="s">
        <v>53</v>
      </c>
      <c r="F17" s="67">
        <v>1</v>
      </c>
      <c r="G17" s="21">
        <v>14000</v>
      </c>
      <c r="H17" s="19">
        <f t="shared" si="0"/>
        <v>14000</v>
      </c>
      <c r="I17" s="157">
        <f>+H17+H18+H19</f>
        <v>80500</v>
      </c>
      <c r="J17" s="81"/>
    </row>
    <row r="18" spans="1:10" x14ac:dyDescent="0.25">
      <c r="A18" s="18">
        <v>46251</v>
      </c>
      <c r="B18" s="20" t="s">
        <v>170</v>
      </c>
      <c r="C18" s="17"/>
      <c r="D18" s="20" t="s">
        <v>112</v>
      </c>
      <c r="E18" s="20" t="s">
        <v>135</v>
      </c>
      <c r="F18" s="67">
        <v>1</v>
      </c>
      <c r="G18" s="21">
        <v>60000</v>
      </c>
      <c r="H18" s="19">
        <f t="shared" si="0"/>
        <v>60000</v>
      </c>
      <c r="I18" s="158"/>
      <c r="J18" s="81"/>
    </row>
    <row r="19" spans="1:10" x14ac:dyDescent="0.25">
      <c r="A19" s="18">
        <v>46251</v>
      </c>
      <c r="B19" s="20" t="s">
        <v>173</v>
      </c>
      <c r="C19" s="17"/>
      <c r="D19" s="20" t="s">
        <v>254</v>
      </c>
      <c r="E19" s="20" t="s">
        <v>172</v>
      </c>
      <c r="F19" s="67">
        <v>1</v>
      </c>
      <c r="G19" s="21">
        <v>6500</v>
      </c>
      <c r="H19" s="19">
        <f t="shared" si="0"/>
        <v>6500</v>
      </c>
      <c r="I19" s="159"/>
      <c r="J19" s="81"/>
    </row>
    <row r="20" spans="1:10" x14ac:dyDescent="0.25">
      <c r="A20" s="18">
        <v>46255</v>
      </c>
      <c r="B20" s="17" t="s">
        <v>238</v>
      </c>
      <c r="C20" s="17"/>
      <c r="D20" s="20" t="s">
        <v>239</v>
      </c>
      <c r="E20" s="17" t="s">
        <v>172</v>
      </c>
      <c r="F20" s="67">
        <v>2</v>
      </c>
      <c r="G20" s="21">
        <v>16000</v>
      </c>
      <c r="H20" s="19">
        <f t="shared" si="0"/>
        <v>32000</v>
      </c>
      <c r="I20" s="140">
        <f>SUM(H20:H21)</f>
        <v>48000</v>
      </c>
      <c r="J20" s="81"/>
    </row>
    <row r="21" spans="1:10" x14ac:dyDescent="0.25">
      <c r="A21" s="18">
        <v>46255</v>
      </c>
      <c r="B21" s="17" t="s">
        <v>238</v>
      </c>
      <c r="C21" s="17"/>
      <c r="D21" s="20" t="s">
        <v>211</v>
      </c>
      <c r="E21" s="17"/>
      <c r="F21" s="67">
        <v>2</v>
      </c>
      <c r="G21" s="21">
        <v>8000</v>
      </c>
      <c r="H21" s="19">
        <f t="shared" si="0"/>
        <v>16000</v>
      </c>
      <c r="I21" s="161"/>
      <c r="J21" s="81"/>
    </row>
    <row r="22" spans="1:10" x14ac:dyDescent="0.25">
      <c r="A22" s="18">
        <v>46256</v>
      </c>
      <c r="B22" s="17" t="s">
        <v>122</v>
      </c>
      <c r="C22" s="17"/>
      <c r="D22" s="20" t="s">
        <v>41</v>
      </c>
      <c r="E22" s="17">
        <v>3</v>
      </c>
      <c r="F22" s="67">
        <v>1</v>
      </c>
      <c r="G22" s="21">
        <v>14000</v>
      </c>
      <c r="H22" s="19">
        <f t="shared" si="0"/>
        <v>14000</v>
      </c>
      <c r="I22" s="157">
        <f>SUM(H22:H43)</f>
        <v>316500</v>
      </c>
      <c r="J22" s="81"/>
    </row>
    <row r="23" spans="1:10" x14ac:dyDescent="0.25">
      <c r="A23" s="18">
        <v>46256</v>
      </c>
      <c r="B23" s="17" t="s">
        <v>122</v>
      </c>
      <c r="C23" s="17"/>
      <c r="D23" s="20" t="s">
        <v>196</v>
      </c>
      <c r="E23" s="17">
        <v>1</v>
      </c>
      <c r="F23" s="67">
        <v>1</v>
      </c>
      <c r="G23" s="21">
        <v>11000</v>
      </c>
      <c r="H23" s="19">
        <f t="shared" si="0"/>
        <v>11000</v>
      </c>
      <c r="I23" s="162"/>
      <c r="J23" s="81"/>
    </row>
    <row r="24" spans="1:10" x14ac:dyDescent="0.25">
      <c r="A24" s="18">
        <v>46256</v>
      </c>
      <c r="B24" s="17" t="s">
        <v>122</v>
      </c>
      <c r="C24" s="17"/>
      <c r="D24" s="17" t="s">
        <v>140</v>
      </c>
      <c r="E24" s="17"/>
      <c r="F24" s="67">
        <v>1</v>
      </c>
      <c r="G24" s="21">
        <v>20000</v>
      </c>
      <c r="H24" s="19">
        <f t="shared" si="0"/>
        <v>20000</v>
      </c>
      <c r="I24" s="162"/>
      <c r="J24" s="81"/>
    </row>
    <row r="25" spans="1:10" x14ac:dyDescent="0.25">
      <c r="A25" s="66">
        <v>46256</v>
      </c>
      <c r="B25" s="17" t="s">
        <v>122</v>
      </c>
      <c r="C25" s="17"/>
      <c r="D25" s="17" t="s">
        <v>240</v>
      </c>
      <c r="E25" s="17">
        <v>5</v>
      </c>
      <c r="F25" s="17">
        <v>1</v>
      </c>
      <c r="G25" s="21">
        <v>22000</v>
      </c>
      <c r="H25" s="19">
        <f t="shared" si="0"/>
        <v>22000</v>
      </c>
      <c r="I25" s="162"/>
      <c r="J25" s="81"/>
    </row>
    <row r="26" spans="1:10" x14ac:dyDescent="0.25">
      <c r="A26" s="66">
        <v>46256</v>
      </c>
      <c r="B26" s="17" t="s">
        <v>241</v>
      </c>
      <c r="C26" s="17"/>
      <c r="D26" s="17" t="s">
        <v>211</v>
      </c>
      <c r="E26" s="17"/>
      <c r="F26" s="17">
        <v>1</v>
      </c>
      <c r="G26" s="21">
        <v>8000</v>
      </c>
      <c r="H26" s="19">
        <f t="shared" si="0"/>
        <v>8000</v>
      </c>
      <c r="I26" s="162"/>
      <c r="J26" s="81"/>
    </row>
    <row r="27" spans="1:10" x14ac:dyDescent="0.25">
      <c r="A27" s="66">
        <v>46256</v>
      </c>
      <c r="B27" s="17" t="s">
        <v>241</v>
      </c>
      <c r="C27" s="17"/>
      <c r="D27" s="17" t="s">
        <v>242</v>
      </c>
      <c r="E27" s="17"/>
      <c r="F27" s="17">
        <v>1</v>
      </c>
      <c r="G27" s="21">
        <v>19000</v>
      </c>
      <c r="H27" s="19">
        <f t="shared" si="0"/>
        <v>19000</v>
      </c>
      <c r="I27" s="162"/>
      <c r="J27" s="81"/>
    </row>
    <row r="28" spans="1:10" x14ac:dyDescent="0.25">
      <c r="A28" s="66">
        <v>46256</v>
      </c>
      <c r="B28" s="17" t="s">
        <v>251</v>
      </c>
      <c r="C28" s="17"/>
      <c r="D28" s="17" t="s">
        <v>248</v>
      </c>
      <c r="E28" s="17"/>
      <c r="F28" s="17">
        <v>2</v>
      </c>
      <c r="G28" s="21">
        <v>10000</v>
      </c>
      <c r="H28" s="19">
        <f t="shared" si="0"/>
        <v>20000</v>
      </c>
      <c r="I28" s="162"/>
      <c r="J28" s="81"/>
    </row>
    <row r="29" spans="1:10" x14ac:dyDescent="0.25">
      <c r="A29" s="66">
        <v>46256</v>
      </c>
      <c r="B29" s="17"/>
      <c r="C29" s="17"/>
      <c r="D29" s="17" t="s">
        <v>200</v>
      </c>
      <c r="E29" s="17"/>
      <c r="F29" s="17">
        <v>2</v>
      </c>
      <c r="G29" s="21">
        <v>3000</v>
      </c>
      <c r="H29" s="19">
        <f t="shared" si="0"/>
        <v>6000</v>
      </c>
      <c r="I29" s="162"/>
      <c r="J29" s="81"/>
    </row>
    <row r="30" spans="1:10" x14ac:dyDescent="0.25">
      <c r="A30" s="66">
        <v>46256</v>
      </c>
      <c r="B30" s="17"/>
      <c r="C30" s="17"/>
      <c r="D30" s="17" t="s">
        <v>99</v>
      </c>
      <c r="E30" s="17"/>
      <c r="F30" s="17">
        <v>1</v>
      </c>
      <c r="G30" s="21">
        <v>3000</v>
      </c>
      <c r="H30" s="19">
        <f t="shared" si="0"/>
        <v>3000</v>
      </c>
      <c r="I30" s="162"/>
      <c r="J30" s="81"/>
    </row>
    <row r="31" spans="1:10" x14ac:dyDescent="0.25">
      <c r="A31" s="66">
        <v>46256</v>
      </c>
      <c r="B31" s="17"/>
      <c r="C31" s="17"/>
      <c r="D31" s="17" t="s">
        <v>292</v>
      </c>
      <c r="E31" s="17"/>
      <c r="F31" s="17">
        <v>2</v>
      </c>
      <c r="G31" s="21">
        <v>9000</v>
      </c>
      <c r="H31" s="19">
        <f t="shared" si="0"/>
        <v>18000</v>
      </c>
      <c r="I31" s="162"/>
      <c r="J31" s="81"/>
    </row>
    <row r="32" spans="1:10" x14ac:dyDescent="0.25">
      <c r="A32" s="66">
        <v>46256</v>
      </c>
      <c r="B32" s="17"/>
      <c r="C32" s="17"/>
      <c r="D32" s="17" t="s">
        <v>249</v>
      </c>
      <c r="E32" s="17"/>
      <c r="F32" s="17">
        <v>1</v>
      </c>
      <c r="G32" s="21">
        <v>8000</v>
      </c>
      <c r="H32" s="19">
        <f t="shared" si="0"/>
        <v>8000</v>
      </c>
      <c r="I32" s="162"/>
      <c r="J32" s="81"/>
    </row>
    <row r="33" spans="1:10" x14ac:dyDescent="0.25">
      <c r="A33" s="66">
        <v>46256</v>
      </c>
      <c r="B33" s="17"/>
      <c r="C33" s="17"/>
      <c r="D33" s="17" t="s">
        <v>250</v>
      </c>
      <c r="E33" s="17"/>
      <c r="F33" s="17">
        <v>1</v>
      </c>
      <c r="G33" s="21">
        <v>3000</v>
      </c>
      <c r="H33" s="19">
        <f t="shared" si="0"/>
        <v>3000</v>
      </c>
      <c r="I33" s="162"/>
      <c r="J33" s="81"/>
    </row>
    <row r="34" spans="1:10" x14ac:dyDescent="0.25">
      <c r="A34" s="66">
        <v>46256</v>
      </c>
      <c r="B34" s="17"/>
      <c r="C34" s="17"/>
      <c r="D34" s="17" t="s">
        <v>239</v>
      </c>
      <c r="E34" s="17"/>
      <c r="F34" s="17">
        <v>1</v>
      </c>
      <c r="G34" s="76">
        <v>18000</v>
      </c>
      <c r="H34" s="19">
        <f t="shared" si="0"/>
        <v>18000</v>
      </c>
      <c r="I34" s="162"/>
      <c r="J34" s="81"/>
    </row>
    <row r="35" spans="1:10" x14ac:dyDescent="0.25">
      <c r="A35" s="66">
        <v>46256</v>
      </c>
      <c r="B35" s="17"/>
      <c r="C35" s="17"/>
      <c r="D35" s="17" t="s">
        <v>123</v>
      </c>
      <c r="E35" s="17"/>
      <c r="F35" s="17">
        <v>1</v>
      </c>
      <c r="G35" s="76">
        <v>9000</v>
      </c>
      <c r="H35" s="19">
        <f t="shared" si="0"/>
        <v>9000</v>
      </c>
      <c r="I35" s="162"/>
      <c r="J35" s="81"/>
    </row>
    <row r="36" spans="1:10" x14ac:dyDescent="0.25">
      <c r="A36" s="66">
        <v>46256</v>
      </c>
      <c r="B36" s="17"/>
      <c r="C36" s="17"/>
      <c r="D36" s="17" t="s">
        <v>41</v>
      </c>
      <c r="E36" s="17"/>
      <c r="F36" s="17">
        <v>1</v>
      </c>
      <c r="G36" s="76">
        <v>25000</v>
      </c>
      <c r="H36" s="19">
        <f t="shared" si="0"/>
        <v>25000</v>
      </c>
      <c r="I36" s="162"/>
      <c r="J36" s="81"/>
    </row>
    <row r="37" spans="1:10" x14ac:dyDescent="0.25">
      <c r="A37" s="66">
        <v>46256</v>
      </c>
      <c r="B37" s="17" t="s">
        <v>252</v>
      </c>
      <c r="C37" s="17"/>
      <c r="D37" s="17" t="s">
        <v>204</v>
      </c>
      <c r="E37" s="17"/>
      <c r="F37" s="17">
        <v>1</v>
      </c>
      <c r="G37" s="76">
        <v>9000</v>
      </c>
      <c r="H37" s="19">
        <f t="shared" si="0"/>
        <v>9000</v>
      </c>
      <c r="I37" s="162"/>
      <c r="J37" s="81"/>
    </row>
    <row r="38" spans="1:10" x14ac:dyDescent="0.25">
      <c r="A38" s="66">
        <v>46256</v>
      </c>
      <c r="B38" s="17" t="s">
        <v>252</v>
      </c>
      <c r="C38" s="17"/>
      <c r="D38" s="17" t="s">
        <v>255</v>
      </c>
      <c r="E38" s="17"/>
      <c r="F38" s="17">
        <v>1</v>
      </c>
      <c r="G38" s="76">
        <v>9000</v>
      </c>
      <c r="H38" s="19">
        <f t="shared" ref="H38:H46" si="1">F38*G38</f>
        <v>9000</v>
      </c>
      <c r="I38" s="162"/>
      <c r="J38" s="81"/>
    </row>
    <row r="39" spans="1:10" x14ac:dyDescent="0.25">
      <c r="A39" s="66">
        <v>46256</v>
      </c>
      <c r="B39" s="17" t="s">
        <v>252</v>
      </c>
      <c r="C39" s="17"/>
      <c r="D39" s="17" t="s">
        <v>145</v>
      </c>
      <c r="E39" s="17"/>
      <c r="F39" s="17">
        <v>2</v>
      </c>
      <c r="G39" s="76">
        <v>6000</v>
      </c>
      <c r="H39" s="19">
        <f t="shared" si="1"/>
        <v>12000</v>
      </c>
      <c r="I39" s="162"/>
      <c r="J39" s="81"/>
    </row>
    <row r="40" spans="1:10" x14ac:dyDescent="0.25">
      <c r="A40" s="66">
        <v>46256</v>
      </c>
      <c r="B40" s="17" t="s">
        <v>256</v>
      </c>
      <c r="C40" s="17"/>
      <c r="D40" s="17" t="s">
        <v>206</v>
      </c>
      <c r="E40" s="17"/>
      <c r="F40" s="17">
        <v>1</v>
      </c>
      <c r="G40" s="76">
        <v>12000</v>
      </c>
      <c r="H40" s="19">
        <f t="shared" si="1"/>
        <v>12000</v>
      </c>
      <c r="I40" s="162"/>
      <c r="J40" s="81"/>
    </row>
    <row r="41" spans="1:10" x14ac:dyDescent="0.25">
      <c r="A41" s="66">
        <v>46256</v>
      </c>
      <c r="B41" s="17" t="s">
        <v>258</v>
      </c>
      <c r="C41" s="17"/>
      <c r="D41" s="17" t="s">
        <v>257</v>
      </c>
      <c r="E41" s="17"/>
      <c r="F41" s="17">
        <v>2</v>
      </c>
      <c r="G41" s="76">
        <v>3500</v>
      </c>
      <c r="H41" s="19">
        <f t="shared" si="1"/>
        <v>7000</v>
      </c>
      <c r="I41" s="162"/>
      <c r="J41" s="81"/>
    </row>
    <row r="42" spans="1:10" x14ac:dyDescent="0.25">
      <c r="A42" s="66">
        <v>46256</v>
      </c>
      <c r="B42" s="17" t="s">
        <v>122</v>
      </c>
      <c r="C42" s="17"/>
      <c r="D42" s="17" t="s">
        <v>140</v>
      </c>
      <c r="E42" s="17"/>
      <c r="F42" s="17">
        <v>2</v>
      </c>
      <c r="G42" s="76">
        <v>30000</v>
      </c>
      <c r="H42" s="19">
        <f t="shared" si="1"/>
        <v>60000</v>
      </c>
      <c r="I42" s="162"/>
      <c r="J42" s="81"/>
    </row>
    <row r="43" spans="1:10" x14ac:dyDescent="0.25">
      <c r="A43" s="66">
        <v>46256</v>
      </c>
      <c r="B43" s="17" t="s">
        <v>122</v>
      </c>
      <c r="C43" s="17"/>
      <c r="D43" s="17" t="s">
        <v>200</v>
      </c>
      <c r="E43" s="17"/>
      <c r="F43" s="17">
        <v>1</v>
      </c>
      <c r="G43" s="76">
        <v>3500</v>
      </c>
      <c r="H43" s="19">
        <f t="shared" si="1"/>
        <v>3500</v>
      </c>
      <c r="I43" s="163"/>
      <c r="J43" s="81"/>
    </row>
    <row r="44" spans="1:10" x14ac:dyDescent="0.25">
      <c r="A44" s="66">
        <v>46257</v>
      </c>
      <c r="B44" s="17" t="s">
        <v>260</v>
      </c>
      <c r="C44" s="17"/>
      <c r="D44" s="17" t="s">
        <v>246</v>
      </c>
      <c r="E44" s="17"/>
      <c r="F44" s="17">
        <v>2</v>
      </c>
      <c r="G44" s="76">
        <v>2000</v>
      </c>
      <c r="H44" s="19">
        <f t="shared" si="1"/>
        <v>4000</v>
      </c>
      <c r="I44" s="157">
        <f>SUM(H44:H51)</f>
        <v>69500</v>
      </c>
      <c r="J44" s="81"/>
    </row>
    <row r="45" spans="1:10" x14ac:dyDescent="0.25">
      <c r="A45" s="66">
        <v>46257</v>
      </c>
      <c r="B45" s="17" t="s">
        <v>260</v>
      </c>
      <c r="C45" s="17"/>
      <c r="D45" s="17" t="s">
        <v>45</v>
      </c>
      <c r="E45" s="17"/>
      <c r="F45" s="17">
        <v>1</v>
      </c>
      <c r="G45" s="76">
        <v>6000</v>
      </c>
      <c r="H45" s="19">
        <f t="shared" si="1"/>
        <v>6000</v>
      </c>
      <c r="I45" s="158"/>
      <c r="J45" s="81"/>
    </row>
    <row r="46" spans="1:10" x14ac:dyDescent="0.25">
      <c r="A46" s="66">
        <v>46257</v>
      </c>
      <c r="B46" s="17" t="s">
        <v>261</v>
      </c>
      <c r="C46" s="17"/>
      <c r="D46" s="17" t="s">
        <v>262</v>
      </c>
      <c r="E46" s="17"/>
      <c r="F46" s="17">
        <v>1</v>
      </c>
      <c r="G46" s="76">
        <v>5000</v>
      </c>
      <c r="H46" s="19">
        <f t="shared" si="1"/>
        <v>5000</v>
      </c>
      <c r="I46" s="158"/>
      <c r="J46" s="81"/>
    </row>
    <row r="47" spans="1:10" x14ac:dyDescent="0.25">
      <c r="A47" s="66">
        <v>46257</v>
      </c>
      <c r="B47" s="17" t="s">
        <v>261</v>
      </c>
      <c r="C47" s="17"/>
      <c r="D47" s="17" t="s">
        <v>263</v>
      </c>
      <c r="E47" s="17"/>
      <c r="F47" s="17">
        <v>1</v>
      </c>
      <c r="G47" s="76">
        <v>20000</v>
      </c>
      <c r="H47" s="19">
        <f t="shared" ref="H47:H77" si="2">F47*G47</f>
        <v>20000</v>
      </c>
      <c r="I47" s="158"/>
      <c r="J47" s="80"/>
    </row>
    <row r="48" spans="1:10" x14ac:dyDescent="0.25">
      <c r="A48" s="66">
        <v>46257</v>
      </c>
      <c r="B48" s="17" t="s">
        <v>261</v>
      </c>
      <c r="C48" s="17"/>
      <c r="D48" s="17" t="s">
        <v>200</v>
      </c>
      <c r="E48" s="17"/>
      <c r="F48" s="17">
        <v>1</v>
      </c>
      <c r="G48" s="76">
        <v>3000</v>
      </c>
      <c r="H48" s="19">
        <f t="shared" si="2"/>
        <v>3000</v>
      </c>
      <c r="I48" s="158"/>
      <c r="J48" s="81"/>
    </row>
    <row r="49" spans="1:10" x14ac:dyDescent="0.25">
      <c r="A49" s="66">
        <v>46257</v>
      </c>
      <c r="B49" s="17" t="s">
        <v>261</v>
      </c>
      <c r="C49" s="17"/>
      <c r="D49" s="17" t="s">
        <v>201</v>
      </c>
      <c r="E49" s="17"/>
      <c r="F49" s="17">
        <v>1</v>
      </c>
      <c r="G49" s="76">
        <v>3000</v>
      </c>
      <c r="H49" s="19">
        <f t="shared" si="2"/>
        <v>3000</v>
      </c>
      <c r="I49" s="158"/>
      <c r="J49" s="81"/>
    </row>
    <row r="50" spans="1:10" x14ac:dyDescent="0.25">
      <c r="A50" s="66">
        <v>46257</v>
      </c>
      <c r="B50" s="17" t="s">
        <v>264</v>
      </c>
      <c r="C50" s="17"/>
      <c r="D50" s="17" t="s">
        <v>254</v>
      </c>
      <c r="E50" s="17"/>
      <c r="F50" s="17">
        <v>3</v>
      </c>
      <c r="G50" s="76">
        <v>6500</v>
      </c>
      <c r="H50" s="19">
        <f t="shared" si="2"/>
        <v>19500</v>
      </c>
      <c r="I50" s="158"/>
      <c r="J50" s="81"/>
    </row>
    <row r="51" spans="1:10" x14ac:dyDescent="0.25">
      <c r="A51" s="66">
        <v>46257</v>
      </c>
      <c r="B51" s="17" t="s">
        <v>251</v>
      </c>
      <c r="C51" s="17"/>
      <c r="D51" s="17" t="s">
        <v>265</v>
      </c>
      <c r="E51" s="17"/>
      <c r="F51" s="17">
        <v>3</v>
      </c>
      <c r="G51" s="76">
        <v>3000</v>
      </c>
      <c r="H51" s="19">
        <f t="shared" si="2"/>
        <v>9000</v>
      </c>
      <c r="I51" s="159"/>
      <c r="J51" s="81"/>
    </row>
    <row r="52" spans="1:10" x14ac:dyDescent="0.25">
      <c r="A52" s="66">
        <v>46258</v>
      </c>
      <c r="B52" s="17" t="s">
        <v>266</v>
      </c>
      <c r="C52" s="17"/>
      <c r="D52" s="17" t="s">
        <v>36</v>
      </c>
      <c r="E52" s="17"/>
      <c r="F52" s="17">
        <v>1</v>
      </c>
      <c r="G52" s="76">
        <v>18000</v>
      </c>
      <c r="H52" s="19">
        <f t="shared" si="2"/>
        <v>18000</v>
      </c>
      <c r="I52" s="140">
        <f>SUM(H52:H57)</f>
        <v>98000</v>
      </c>
      <c r="J52" s="81"/>
    </row>
    <row r="53" spans="1:10" x14ac:dyDescent="0.25">
      <c r="A53" s="66">
        <v>46258</v>
      </c>
      <c r="B53" s="17" t="s">
        <v>266</v>
      </c>
      <c r="C53" s="17"/>
      <c r="D53" s="17" t="s">
        <v>157</v>
      </c>
      <c r="E53" s="17"/>
      <c r="F53" s="17">
        <v>1</v>
      </c>
      <c r="G53" s="76">
        <v>20000</v>
      </c>
      <c r="H53" s="19">
        <f t="shared" si="2"/>
        <v>20000</v>
      </c>
      <c r="I53" s="160"/>
      <c r="J53" s="81"/>
    </row>
    <row r="54" spans="1:10" x14ac:dyDescent="0.25">
      <c r="A54" s="66">
        <v>46258</v>
      </c>
      <c r="B54" s="17" t="s">
        <v>266</v>
      </c>
      <c r="C54" s="17"/>
      <c r="D54" s="17" t="s">
        <v>204</v>
      </c>
      <c r="E54" s="17"/>
      <c r="F54" s="17">
        <v>1</v>
      </c>
      <c r="G54" s="76">
        <v>12000</v>
      </c>
      <c r="H54" s="19">
        <f t="shared" si="2"/>
        <v>12000</v>
      </c>
      <c r="I54" s="160"/>
      <c r="J54" s="81"/>
    </row>
    <row r="55" spans="1:10" x14ac:dyDescent="0.25">
      <c r="A55" s="66">
        <v>46258</v>
      </c>
      <c r="B55" s="17" t="s">
        <v>266</v>
      </c>
      <c r="C55" s="17"/>
      <c r="D55" s="17" t="s">
        <v>153</v>
      </c>
      <c r="E55" s="17"/>
      <c r="F55" s="17">
        <v>1</v>
      </c>
      <c r="G55" s="76">
        <v>8000</v>
      </c>
      <c r="H55" s="19">
        <f t="shared" si="2"/>
        <v>8000</v>
      </c>
      <c r="I55" s="160"/>
      <c r="J55" s="81"/>
    </row>
    <row r="56" spans="1:10" x14ac:dyDescent="0.25">
      <c r="A56" s="66">
        <v>46258</v>
      </c>
      <c r="B56" s="17" t="s">
        <v>267</v>
      </c>
      <c r="C56" s="17"/>
      <c r="D56" s="17" t="s">
        <v>200</v>
      </c>
      <c r="E56" s="17"/>
      <c r="F56" s="17">
        <v>5</v>
      </c>
      <c r="G56" s="76">
        <v>3000</v>
      </c>
      <c r="H56" s="19">
        <f t="shared" si="2"/>
        <v>15000</v>
      </c>
      <c r="I56" s="160"/>
      <c r="J56" s="81"/>
    </row>
    <row r="57" spans="1:10" x14ac:dyDescent="0.25">
      <c r="A57" s="66">
        <v>46258</v>
      </c>
      <c r="B57" s="17" t="s">
        <v>268</v>
      </c>
      <c r="C57" s="17"/>
      <c r="D57" s="17" t="s">
        <v>93</v>
      </c>
      <c r="E57" s="17"/>
      <c r="F57" s="17">
        <v>1</v>
      </c>
      <c r="G57" s="76">
        <v>25000</v>
      </c>
      <c r="H57" s="19">
        <f t="shared" si="2"/>
        <v>25000</v>
      </c>
      <c r="I57" s="161"/>
      <c r="J57" s="81"/>
    </row>
    <row r="58" spans="1:10" x14ac:dyDescent="0.25">
      <c r="A58" s="66">
        <v>46259</v>
      </c>
      <c r="B58" s="17" t="s">
        <v>269</v>
      </c>
      <c r="C58" s="17"/>
      <c r="D58" s="17" t="s">
        <v>39</v>
      </c>
      <c r="E58" s="17"/>
      <c r="F58" s="17">
        <v>1</v>
      </c>
      <c r="G58" s="76">
        <v>22000</v>
      </c>
      <c r="H58" s="19">
        <f t="shared" si="2"/>
        <v>22000</v>
      </c>
      <c r="I58" s="148">
        <f>SUM(H58:H62)</f>
        <v>56000</v>
      </c>
      <c r="J58" s="81"/>
    </row>
    <row r="59" spans="1:10" x14ac:dyDescent="0.25">
      <c r="A59" s="66">
        <v>46259</v>
      </c>
      <c r="B59" s="17" t="s">
        <v>269</v>
      </c>
      <c r="C59" s="17"/>
      <c r="D59" s="17" t="s">
        <v>247</v>
      </c>
      <c r="E59" s="17"/>
      <c r="F59" s="17">
        <v>1</v>
      </c>
      <c r="G59" s="76">
        <v>25000</v>
      </c>
      <c r="H59" s="19">
        <f t="shared" si="2"/>
        <v>25000</v>
      </c>
      <c r="I59" s="149"/>
      <c r="J59" s="81"/>
    </row>
    <row r="60" spans="1:10" x14ac:dyDescent="0.25">
      <c r="A60" s="66">
        <v>46259</v>
      </c>
      <c r="B60" s="17" t="s">
        <v>270</v>
      </c>
      <c r="C60" s="17"/>
      <c r="D60" s="17" t="s">
        <v>284</v>
      </c>
      <c r="E60" s="17"/>
      <c r="F60" s="17">
        <v>1</v>
      </c>
      <c r="G60" s="76">
        <v>3000</v>
      </c>
      <c r="H60" s="19">
        <f t="shared" si="2"/>
        <v>3000</v>
      </c>
      <c r="I60" s="149"/>
      <c r="J60" s="81"/>
    </row>
    <row r="61" spans="1:10" x14ac:dyDescent="0.25">
      <c r="A61" s="66">
        <v>46259</v>
      </c>
      <c r="B61" s="17" t="s">
        <v>270</v>
      </c>
      <c r="C61" s="17"/>
      <c r="D61" s="17" t="s">
        <v>250</v>
      </c>
      <c r="E61" s="17"/>
      <c r="F61" s="17">
        <v>1</v>
      </c>
      <c r="G61" s="76">
        <v>3000</v>
      </c>
      <c r="H61" s="19">
        <f t="shared" si="2"/>
        <v>3000</v>
      </c>
      <c r="I61" s="149"/>
      <c r="J61" s="81"/>
    </row>
    <row r="62" spans="1:10" x14ac:dyDescent="0.25">
      <c r="A62" s="66">
        <v>46259</v>
      </c>
      <c r="B62" s="17" t="s">
        <v>271</v>
      </c>
      <c r="C62" s="17"/>
      <c r="D62" s="17" t="s">
        <v>272</v>
      </c>
      <c r="E62" s="17"/>
      <c r="F62" s="17">
        <v>1</v>
      </c>
      <c r="G62" s="76">
        <v>3000</v>
      </c>
      <c r="H62" s="19">
        <f t="shared" si="2"/>
        <v>3000</v>
      </c>
      <c r="I62" s="150"/>
      <c r="J62" s="81"/>
    </row>
    <row r="63" spans="1:10" x14ac:dyDescent="0.25">
      <c r="A63" s="66">
        <v>46260</v>
      </c>
      <c r="B63" s="17" t="s">
        <v>273</v>
      </c>
      <c r="C63" s="17"/>
      <c r="D63" s="17" t="s">
        <v>274</v>
      </c>
      <c r="E63" s="17"/>
      <c r="F63" s="17">
        <v>1</v>
      </c>
      <c r="G63" s="76">
        <v>5000</v>
      </c>
      <c r="H63" s="19">
        <f t="shared" si="2"/>
        <v>5000</v>
      </c>
      <c r="I63" s="148">
        <f>SUM(H63:H75)</f>
        <v>260000</v>
      </c>
      <c r="J63" s="81"/>
    </row>
    <row r="64" spans="1:10" x14ac:dyDescent="0.25">
      <c r="A64" s="66">
        <v>46260</v>
      </c>
      <c r="B64" s="17" t="s">
        <v>275</v>
      </c>
      <c r="C64" s="17"/>
      <c r="D64" s="17" t="s">
        <v>422</v>
      </c>
      <c r="E64" s="17"/>
      <c r="F64" s="17">
        <v>1</v>
      </c>
      <c r="G64" s="76">
        <v>20000</v>
      </c>
      <c r="H64" s="19">
        <f t="shared" si="2"/>
        <v>20000</v>
      </c>
      <c r="I64" s="149"/>
      <c r="J64" s="81"/>
    </row>
    <row r="65" spans="1:10" x14ac:dyDescent="0.25">
      <c r="A65" s="66">
        <v>46260</v>
      </c>
      <c r="B65" s="17" t="s">
        <v>276</v>
      </c>
      <c r="C65" s="17"/>
      <c r="D65" s="17" t="s">
        <v>277</v>
      </c>
      <c r="E65" s="17"/>
      <c r="F65" s="17">
        <v>5</v>
      </c>
      <c r="G65" s="76">
        <v>2000</v>
      </c>
      <c r="H65" s="19">
        <f t="shared" si="2"/>
        <v>10000</v>
      </c>
      <c r="I65" s="149"/>
      <c r="J65" s="81"/>
    </row>
    <row r="66" spans="1:10" x14ac:dyDescent="0.25">
      <c r="A66" s="66">
        <v>46260</v>
      </c>
      <c r="B66" s="17" t="s">
        <v>278</v>
      </c>
      <c r="C66" s="17"/>
      <c r="D66" s="17" t="s">
        <v>250</v>
      </c>
      <c r="E66" s="17"/>
      <c r="F66" s="17">
        <v>1</v>
      </c>
      <c r="G66" s="76">
        <v>3000</v>
      </c>
      <c r="H66" s="19">
        <f t="shared" si="2"/>
        <v>3000</v>
      </c>
      <c r="I66" s="149"/>
      <c r="J66" s="81"/>
    </row>
    <row r="67" spans="1:10" x14ac:dyDescent="0.25">
      <c r="A67" s="66">
        <v>46260</v>
      </c>
      <c r="B67" s="17" t="s">
        <v>279</v>
      </c>
      <c r="C67" s="17"/>
      <c r="D67" s="17" t="s">
        <v>255</v>
      </c>
      <c r="E67" s="17"/>
      <c r="F67" s="17">
        <v>1</v>
      </c>
      <c r="G67" s="76">
        <v>9000</v>
      </c>
      <c r="H67" s="19">
        <f t="shared" si="2"/>
        <v>9000</v>
      </c>
      <c r="I67" s="149"/>
      <c r="J67" s="81"/>
    </row>
    <row r="68" spans="1:10" x14ac:dyDescent="0.25">
      <c r="A68" s="66">
        <v>46260</v>
      </c>
      <c r="B68" s="17" t="s">
        <v>279</v>
      </c>
      <c r="C68" s="17"/>
      <c r="D68" s="17" t="s">
        <v>204</v>
      </c>
      <c r="E68" s="17"/>
      <c r="F68" s="17">
        <v>1</v>
      </c>
      <c r="G68" s="76">
        <v>9000</v>
      </c>
      <c r="H68" s="19">
        <f t="shared" si="2"/>
        <v>9000</v>
      </c>
      <c r="I68" s="149"/>
      <c r="J68" s="81"/>
    </row>
    <row r="69" spans="1:10" x14ac:dyDescent="0.25">
      <c r="A69" s="66">
        <v>46260</v>
      </c>
      <c r="B69" s="17" t="s">
        <v>280</v>
      </c>
      <c r="C69" s="17"/>
      <c r="D69" s="17" t="s">
        <v>281</v>
      </c>
      <c r="E69" s="17"/>
      <c r="F69" s="17">
        <v>2</v>
      </c>
      <c r="G69" s="76">
        <v>3000</v>
      </c>
      <c r="H69" s="19">
        <f t="shared" si="2"/>
        <v>6000</v>
      </c>
      <c r="I69" s="149"/>
      <c r="J69" s="81"/>
    </row>
    <row r="70" spans="1:10" x14ac:dyDescent="0.25">
      <c r="A70" s="66">
        <v>46260</v>
      </c>
      <c r="B70" s="17" t="s">
        <v>282</v>
      </c>
      <c r="C70" s="17"/>
      <c r="D70" s="17" t="s">
        <v>240</v>
      </c>
      <c r="E70" s="17"/>
      <c r="F70" s="17">
        <v>1</v>
      </c>
      <c r="G70" s="76">
        <v>22000</v>
      </c>
      <c r="H70" s="19">
        <f t="shared" si="2"/>
        <v>22000</v>
      </c>
      <c r="I70" s="149"/>
      <c r="J70" s="81"/>
    </row>
    <row r="71" spans="1:10" x14ac:dyDescent="0.25">
      <c r="A71" s="66">
        <v>46260</v>
      </c>
      <c r="B71" s="17" t="s">
        <v>282</v>
      </c>
      <c r="C71" s="17"/>
      <c r="D71" s="17" t="s">
        <v>140</v>
      </c>
      <c r="E71" s="17"/>
      <c r="F71" s="17">
        <v>1</v>
      </c>
      <c r="G71" s="76">
        <v>20000</v>
      </c>
      <c r="H71" s="19">
        <f t="shared" si="2"/>
        <v>20000</v>
      </c>
      <c r="I71" s="149"/>
      <c r="J71" s="81"/>
    </row>
    <row r="72" spans="1:10" x14ac:dyDescent="0.25">
      <c r="A72" s="66">
        <v>46260</v>
      </c>
      <c r="B72" s="17" t="s">
        <v>283</v>
      </c>
      <c r="C72" s="17"/>
      <c r="D72" s="17" t="s">
        <v>142</v>
      </c>
      <c r="E72" s="17"/>
      <c r="F72" s="17">
        <v>1</v>
      </c>
      <c r="G72" s="76">
        <v>40000</v>
      </c>
      <c r="H72" s="19">
        <f t="shared" si="2"/>
        <v>40000</v>
      </c>
      <c r="I72" s="149"/>
      <c r="J72" s="81"/>
    </row>
    <row r="73" spans="1:10" x14ac:dyDescent="0.25">
      <c r="A73" s="66">
        <v>46260</v>
      </c>
      <c r="B73" s="17" t="s">
        <v>285</v>
      </c>
      <c r="C73" s="17"/>
      <c r="D73" s="17" t="s">
        <v>373</v>
      </c>
      <c r="E73" s="17"/>
      <c r="F73" s="17">
        <v>1</v>
      </c>
      <c r="G73" s="76">
        <v>60000</v>
      </c>
      <c r="H73" s="19">
        <f t="shared" si="2"/>
        <v>60000</v>
      </c>
      <c r="I73" s="149"/>
      <c r="J73" s="81"/>
    </row>
    <row r="74" spans="1:10" x14ac:dyDescent="0.25">
      <c r="A74" s="66">
        <v>46260</v>
      </c>
      <c r="B74" s="17" t="s">
        <v>285</v>
      </c>
      <c r="C74" s="17"/>
      <c r="D74" s="17" t="s">
        <v>286</v>
      </c>
      <c r="E74" s="17"/>
      <c r="F74" s="17">
        <v>1</v>
      </c>
      <c r="G74" s="76">
        <v>40000</v>
      </c>
      <c r="H74" s="19">
        <f t="shared" si="2"/>
        <v>40000</v>
      </c>
      <c r="I74" s="149"/>
      <c r="J74" s="81"/>
    </row>
    <row r="75" spans="1:10" x14ac:dyDescent="0.25">
      <c r="A75" s="66">
        <v>46260</v>
      </c>
      <c r="B75" s="17" t="s">
        <v>287</v>
      </c>
      <c r="C75" s="17"/>
      <c r="D75" s="17" t="s">
        <v>49</v>
      </c>
      <c r="E75" s="17"/>
      <c r="F75" s="17">
        <v>1</v>
      </c>
      <c r="G75" s="76">
        <v>16000</v>
      </c>
      <c r="H75" s="19">
        <f t="shared" si="2"/>
        <v>16000</v>
      </c>
      <c r="I75" s="150"/>
      <c r="J75" s="81"/>
    </row>
    <row r="76" spans="1:10" x14ac:dyDescent="0.25">
      <c r="A76" s="66">
        <v>46261</v>
      </c>
      <c r="B76" s="17" t="s">
        <v>288</v>
      </c>
      <c r="C76" s="17"/>
      <c r="D76" s="17" t="s">
        <v>289</v>
      </c>
      <c r="E76" s="17"/>
      <c r="F76" s="17">
        <v>1</v>
      </c>
      <c r="G76" s="76">
        <v>10000</v>
      </c>
      <c r="H76" s="19">
        <f t="shared" si="2"/>
        <v>10000</v>
      </c>
      <c r="I76" s="148">
        <f>SUM(H76:H81)</f>
        <v>79000</v>
      </c>
      <c r="J76" s="81"/>
    </row>
    <row r="77" spans="1:10" x14ac:dyDescent="0.25">
      <c r="A77" s="66">
        <v>46261</v>
      </c>
      <c r="B77" s="17" t="s">
        <v>288</v>
      </c>
      <c r="C77" s="17"/>
      <c r="D77" s="17" t="s">
        <v>290</v>
      </c>
      <c r="E77" s="17"/>
      <c r="F77" s="17">
        <v>1</v>
      </c>
      <c r="G77" s="76">
        <v>5000</v>
      </c>
      <c r="H77" s="19">
        <f t="shared" si="2"/>
        <v>5000</v>
      </c>
      <c r="I77" s="149"/>
      <c r="J77" s="81"/>
    </row>
    <row r="78" spans="1:10" x14ac:dyDescent="0.25">
      <c r="A78" s="66">
        <v>46261</v>
      </c>
      <c r="B78" s="17" t="s">
        <v>291</v>
      </c>
      <c r="C78" s="17"/>
      <c r="D78" s="17" t="s">
        <v>248</v>
      </c>
      <c r="E78" s="17"/>
      <c r="F78" s="17">
        <v>3</v>
      </c>
      <c r="G78" s="76">
        <v>8000</v>
      </c>
      <c r="H78" s="19">
        <f t="shared" ref="H78:H83" si="3">F78*G78</f>
        <v>24000</v>
      </c>
      <c r="I78" s="149"/>
      <c r="J78" s="81"/>
    </row>
    <row r="79" spans="1:10" x14ac:dyDescent="0.25">
      <c r="A79" s="66">
        <v>46261</v>
      </c>
      <c r="B79" s="17" t="s">
        <v>291</v>
      </c>
      <c r="C79" s="17"/>
      <c r="D79" s="17" t="s">
        <v>292</v>
      </c>
      <c r="E79" s="17"/>
      <c r="F79" s="17">
        <v>2</v>
      </c>
      <c r="G79" s="76">
        <v>8500</v>
      </c>
      <c r="H79" s="19">
        <f t="shared" si="3"/>
        <v>17000</v>
      </c>
      <c r="I79" s="149"/>
      <c r="J79" s="81"/>
    </row>
    <row r="80" spans="1:10" x14ac:dyDescent="0.25">
      <c r="A80" s="66">
        <v>46261</v>
      </c>
      <c r="B80" s="17" t="s">
        <v>293</v>
      </c>
      <c r="C80" s="17"/>
      <c r="D80" s="17" t="s">
        <v>233</v>
      </c>
      <c r="E80" s="17"/>
      <c r="F80" s="17">
        <v>1</v>
      </c>
      <c r="G80" s="76">
        <v>8000</v>
      </c>
      <c r="H80" s="19">
        <f t="shared" si="3"/>
        <v>8000</v>
      </c>
      <c r="I80" s="149"/>
      <c r="J80" s="81"/>
    </row>
    <row r="81" spans="1:10" x14ac:dyDescent="0.25">
      <c r="A81" s="66">
        <v>46261</v>
      </c>
      <c r="B81" s="17" t="s">
        <v>293</v>
      </c>
      <c r="C81" s="17"/>
      <c r="D81" s="17" t="s">
        <v>294</v>
      </c>
      <c r="E81" s="17"/>
      <c r="F81" s="17">
        <v>1</v>
      </c>
      <c r="G81" s="76">
        <v>15000</v>
      </c>
      <c r="H81" s="19">
        <f t="shared" si="3"/>
        <v>15000</v>
      </c>
      <c r="I81" s="150"/>
      <c r="J81" s="81"/>
    </row>
    <row r="82" spans="1:10" x14ac:dyDescent="0.25">
      <c r="A82" s="66">
        <v>46262</v>
      </c>
      <c r="B82" s="17" t="s">
        <v>295</v>
      </c>
      <c r="C82" s="17"/>
      <c r="D82" s="17" t="s">
        <v>290</v>
      </c>
      <c r="E82" s="17"/>
      <c r="F82" s="17">
        <v>1</v>
      </c>
      <c r="G82" s="76">
        <v>4500</v>
      </c>
      <c r="H82" s="19">
        <f t="shared" si="3"/>
        <v>4500</v>
      </c>
      <c r="I82" s="148">
        <f>SUM(H82:H101)</f>
        <v>374500</v>
      </c>
      <c r="J82" s="81"/>
    </row>
    <row r="83" spans="1:10" x14ac:dyDescent="0.25">
      <c r="A83" s="66">
        <v>46262</v>
      </c>
      <c r="B83" s="17" t="s">
        <v>296</v>
      </c>
      <c r="C83" s="17"/>
      <c r="D83" s="17" t="s">
        <v>320</v>
      </c>
      <c r="E83" s="17"/>
      <c r="F83" s="17">
        <v>1</v>
      </c>
      <c r="G83" s="76">
        <v>10000</v>
      </c>
      <c r="H83" s="19">
        <f t="shared" si="3"/>
        <v>10000</v>
      </c>
      <c r="I83" s="149"/>
      <c r="J83" s="81"/>
    </row>
    <row r="84" spans="1:10" x14ac:dyDescent="0.25">
      <c r="A84" s="66">
        <v>46262</v>
      </c>
      <c r="B84" s="17" t="s">
        <v>298</v>
      </c>
      <c r="C84" s="17"/>
      <c r="D84" s="17" t="s">
        <v>325</v>
      </c>
      <c r="E84" s="17"/>
      <c r="F84" s="17">
        <v>2</v>
      </c>
      <c r="G84" s="76">
        <v>8500</v>
      </c>
      <c r="H84" s="19">
        <f t="shared" ref="H84:H92" si="4">F84*G84</f>
        <v>17000</v>
      </c>
      <c r="I84" s="149"/>
      <c r="J84" s="81"/>
    </row>
    <row r="85" spans="1:10" x14ac:dyDescent="0.25">
      <c r="A85" s="66">
        <v>46262</v>
      </c>
      <c r="B85" s="17" t="s">
        <v>298</v>
      </c>
      <c r="C85" s="17"/>
      <c r="D85" s="17" t="s">
        <v>292</v>
      </c>
      <c r="E85" s="17"/>
      <c r="F85" s="17">
        <v>1</v>
      </c>
      <c r="G85" s="76">
        <v>9000</v>
      </c>
      <c r="H85" s="19">
        <f t="shared" si="4"/>
        <v>9000</v>
      </c>
      <c r="I85" s="149"/>
      <c r="J85" s="81"/>
    </row>
    <row r="86" spans="1:10" x14ac:dyDescent="0.25">
      <c r="A86" s="66">
        <v>46262</v>
      </c>
      <c r="B86" s="17" t="s">
        <v>298</v>
      </c>
      <c r="C86" s="17"/>
      <c r="D86" s="17" t="s">
        <v>423</v>
      </c>
      <c r="E86" s="17"/>
      <c r="F86" s="17">
        <v>2</v>
      </c>
      <c r="G86" s="76">
        <v>8000</v>
      </c>
      <c r="H86" s="19">
        <f t="shared" si="4"/>
        <v>16000</v>
      </c>
      <c r="I86" s="149"/>
      <c r="J86" s="81"/>
    </row>
    <row r="87" spans="1:10" x14ac:dyDescent="0.25">
      <c r="A87" s="66">
        <v>46262</v>
      </c>
      <c r="B87" s="17" t="s">
        <v>300</v>
      </c>
      <c r="C87" s="17"/>
      <c r="D87" s="17" t="s">
        <v>202</v>
      </c>
      <c r="E87" s="17"/>
      <c r="F87" s="17">
        <v>1</v>
      </c>
      <c r="G87" s="76">
        <v>25000</v>
      </c>
      <c r="H87" s="19">
        <f t="shared" si="4"/>
        <v>25000</v>
      </c>
      <c r="I87" s="149"/>
      <c r="J87" s="81"/>
    </row>
    <row r="88" spans="1:10" x14ac:dyDescent="0.25">
      <c r="A88" s="66">
        <v>46262</v>
      </c>
      <c r="B88" s="17" t="s">
        <v>300</v>
      </c>
      <c r="C88" s="17"/>
      <c r="D88" s="17" t="s">
        <v>190</v>
      </c>
      <c r="E88" s="17"/>
      <c r="F88" s="17">
        <v>1</v>
      </c>
      <c r="G88" s="76">
        <v>3000</v>
      </c>
      <c r="H88" s="19">
        <f t="shared" si="4"/>
        <v>3000</v>
      </c>
      <c r="I88" s="149"/>
      <c r="J88" s="81"/>
    </row>
    <row r="89" spans="1:10" x14ac:dyDescent="0.25">
      <c r="A89" s="66">
        <v>46262</v>
      </c>
      <c r="B89" s="17" t="s">
        <v>300</v>
      </c>
      <c r="C89" s="17"/>
      <c r="D89" s="17" t="s">
        <v>45</v>
      </c>
      <c r="E89" s="17"/>
      <c r="F89" s="17">
        <v>1</v>
      </c>
      <c r="G89" s="76">
        <v>6000</v>
      </c>
      <c r="H89" s="19">
        <f t="shared" si="4"/>
        <v>6000</v>
      </c>
      <c r="I89" s="149"/>
      <c r="J89" s="81"/>
    </row>
    <row r="90" spans="1:10" x14ac:dyDescent="0.25">
      <c r="A90" s="66">
        <v>46262</v>
      </c>
      <c r="B90" s="17" t="s">
        <v>300</v>
      </c>
      <c r="C90" s="17"/>
      <c r="D90" s="17" t="s">
        <v>423</v>
      </c>
      <c r="E90" s="17"/>
      <c r="F90" s="17">
        <v>1</v>
      </c>
      <c r="G90" s="76">
        <v>8000</v>
      </c>
      <c r="H90" s="19">
        <f t="shared" si="4"/>
        <v>8000</v>
      </c>
      <c r="I90" s="149"/>
      <c r="J90" s="81"/>
    </row>
    <row r="91" spans="1:10" x14ac:dyDescent="0.25">
      <c r="A91" s="66">
        <v>46262</v>
      </c>
      <c r="B91" s="17" t="s">
        <v>300</v>
      </c>
      <c r="C91" s="17"/>
      <c r="D91" s="17" t="s">
        <v>301</v>
      </c>
      <c r="E91" s="17"/>
      <c r="F91" s="17">
        <v>1</v>
      </c>
      <c r="G91" s="76">
        <v>9000</v>
      </c>
      <c r="H91" s="19">
        <f t="shared" si="4"/>
        <v>9000</v>
      </c>
      <c r="I91" s="149"/>
      <c r="J91" s="81"/>
    </row>
    <row r="92" spans="1:10" x14ac:dyDescent="0.25">
      <c r="A92" s="66">
        <v>46262</v>
      </c>
      <c r="B92" s="17" t="s">
        <v>302</v>
      </c>
      <c r="C92" s="17"/>
      <c r="D92" s="17" t="s">
        <v>303</v>
      </c>
      <c r="E92" s="17"/>
      <c r="F92" s="17">
        <v>1</v>
      </c>
      <c r="G92" s="76">
        <v>12000</v>
      </c>
      <c r="H92" s="19">
        <f t="shared" si="4"/>
        <v>12000</v>
      </c>
      <c r="I92" s="149"/>
      <c r="J92" s="81"/>
    </row>
    <row r="93" spans="1:10" x14ac:dyDescent="0.25">
      <c r="A93" s="66">
        <v>46262</v>
      </c>
      <c r="B93" s="17" t="s">
        <v>306</v>
      </c>
      <c r="C93" s="17"/>
      <c r="D93" s="17" t="s">
        <v>277</v>
      </c>
      <c r="E93" s="17"/>
      <c r="F93" s="17">
        <v>5</v>
      </c>
      <c r="G93" s="76">
        <v>2000</v>
      </c>
      <c r="H93" s="19">
        <f t="shared" ref="H93:H101" si="5">F93*G93</f>
        <v>10000</v>
      </c>
      <c r="I93" s="149"/>
      <c r="J93" s="80"/>
    </row>
    <row r="94" spans="1:10" x14ac:dyDescent="0.25">
      <c r="A94" s="66">
        <v>46262</v>
      </c>
      <c r="B94" s="17" t="s">
        <v>306</v>
      </c>
      <c r="C94" s="17"/>
      <c r="D94" s="17" t="s">
        <v>257</v>
      </c>
      <c r="E94" s="17"/>
      <c r="F94" s="17">
        <v>3</v>
      </c>
      <c r="G94" s="76">
        <v>3000</v>
      </c>
      <c r="H94" s="19">
        <f t="shared" si="5"/>
        <v>9000</v>
      </c>
      <c r="I94" s="149"/>
      <c r="J94" s="81"/>
    </row>
    <row r="95" spans="1:10" x14ac:dyDescent="0.25">
      <c r="A95" s="66">
        <v>46262</v>
      </c>
      <c r="B95" s="17" t="s">
        <v>306</v>
      </c>
      <c r="C95" s="17"/>
      <c r="D95" s="17" t="s">
        <v>307</v>
      </c>
      <c r="E95" s="17"/>
      <c r="F95" s="17">
        <v>1</v>
      </c>
      <c r="G95" s="76">
        <v>3000</v>
      </c>
      <c r="H95" s="19">
        <f t="shared" si="5"/>
        <v>3000</v>
      </c>
      <c r="I95" s="149"/>
      <c r="J95" s="81"/>
    </row>
    <row r="96" spans="1:10" x14ac:dyDescent="0.25">
      <c r="A96" s="66">
        <v>46262</v>
      </c>
      <c r="B96" s="17" t="s">
        <v>308</v>
      </c>
      <c r="C96" s="17"/>
      <c r="D96" s="17" t="s">
        <v>309</v>
      </c>
      <c r="E96" s="17"/>
      <c r="F96" s="17">
        <v>3</v>
      </c>
      <c r="G96" s="76">
        <v>3000</v>
      </c>
      <c r="H96" s="19">
        <f t="shared" si="5"/>
        <v>9000</v>
      </c>
      <c r="I96" s="149"/>
      <c r="J96" s="81"/>
    </row>
    <row r="97" spans="1:10" x14ac:dyDescent="0.25">
      <c r="A97" s="66">
        <v>46262</v>
      </c>
      <c r="B97" s="17" t="s">
        <v>310</v>
      </c>
      <c r="C97" s="17"/>
      <c r="D97" s="17" t="s">
        <v>425</v>
      </c>
      <c r="E97" s="17"/>
      <c r="F97" s="17">
        <v>4</v>
      </c>
      <c r="G97" s="76">
        <v>7000</v>
      </c>
      <c r="H97" s="19">
        <f t="shared" si="5"/>
        <v>28000</v>
      </c>
      <c r="I97" s="149"/>
      <c r="J97" s="81"/>
    </row>
    <row r="98" spans="1:10" x14ac:dyDescent="0.25">
      <c r="A98" s="66">
        <v>46262</v>
      </c>
      <c r="B98" s="17" t="s">
        <v>310</v>
      </c>
      <c r="C98" s="17"/>
      <c r="D98" s="17" t="s">
        <v>42</v>
      </c>
      <c r="E98" s="17"/>
      <c r="F98" s="17">
        <v>2</v>
      </c>
      <c r="G98" s="76">
        <v>14000</v>
      </c>
      <c r="H98" s="19">
        <f t="shared" si="5"/>
        <v>28000</v>
      </c>
      <c r="I98" s="149"/>
      <c r="J98" s="81"/>
    </row>
    <row r="99" spans="1:10" x14ac:dyDescent="0.25">
      <c r="A99" s="66">
        <v>46262</v>
      </c>
      <c r="B99" s="17" t="s">
        <v>310</v>
      </c>
      <c r="C99" s="17"/>
      <c r="D99" s="17" t="s">
        <v>325</v>
      </c>
      <c r="E99" s="17"/>
      <c r="F99" s="17">
        <v>15</v>
      </c>
      <c r="G99" s="76">
        <v>8000</v>
      </c>
      <c r="H99" s="19">
        <f t="shared" si="5"/>
        <v>120000</v>
      </c>
      <c r="I99" s="149"/>
      <c r="J99" s="81"/>
    </row>
    <row r="100" spans="1:10" x14ac:dyDescent="0.25">
      <c r="A100" s="66">
        <v>46262</v>
      </c>
      <c r="B100" s="17" t="s">
        <v>312</v>
      </c>
      <c r="C100" s="17"/>
      <c r="D100" s="17" t="s">
        <v>257</v>
      </c>
      <c r="E100" s="17"/>
      <c r="F100" s="17">
        <v>4</v>
      </c>
      <c r="G100" s="76">
        <v>3000</v>
      </c>
      <c r="H100" s="19">
        <f t="shared" si="5"/>
        <v>12000</v>
      </c>
      <c r="I100" s="149"/>
      <c r="J100" s="81"/>
    </row>
    <row r="101" spans="1:10" x14ac:dyDescent="0.25">
      <c r="A101" s="66">
        <v>46262</v>
      </c>
      <c r="B101" s="17" t="s">
        <v>251</v>
      </c>
      <c r="C101" s="17"/>
      <c r="D101" s="17" t="s">
        <v>168</v>
      </c>
      <c r="E101" s="17"/>
      <c r="F101" s="17">
        <v>2</v>
      </c>
      <c r="G101" s="76">
        <v>18000</v>
      </c>
      <c r="H101" s="19">
        <f t="shared" si="5"/>
        <v>36000</v>
      </c>
      <c r="I101" s="150"/>
      <c r="J101" s="81"/>
    </row>
    <row r="102" spans="1:10" x14ac:dyDescent="0.25">
      <c r="A102" s="66">
        <v>46263</v>
      </c>
      <c r="B102" s="17" t="s">
        <v>313</v>
      </c>
      <c r="C102" s="17"/>
      <c r="D102" s="17" t="s">
        <v>277</v>
      </c>
      <c r="E102" s="17"/>
      <c r="F102" s="17">
        <v>3</v>
      </c>
      <c r="G102" s="76">
        <v>2000</v>
      </c>
      <c r="H102" s="19">
        <f t="shared" ref="H102:H107" si="6">F102*G102</f>
        <v>6000</v>
      </c>
      <c r="I102" s="148">
        <f>SUM(H102:H128)</f>
        <v>369300</v>
      </c>
      <c r="J102" s="81"/>
    </row>
    <row r="103" spans="1:10" x14ac:dyDescent="0.25">
      <c r="A103" s="66">
        <v>46263</v>
      </c>
      <c r="B103" s="17" t="s">
        <v>313</v>
      </c>
      <c r="C103" s="17"/>
      <c r="D103" s="17" t="s">
        <v>257</v>
      </c>
      <c r="E103" s="17"/>
      <c r="F103" s="17">
        <v>1</v>
      </c>
      <c r="G103" s="76">
        <v>3000</v>
      </c>
      <c r="H103" s="19">
        <f t="shared" si="6"/>
        <v>3000</v>
      </c>
      <c r="I103" s="149"/>
      <c r="J103" s="81"/>
    </row>
    <row r="104" spans="1:10" x14ac:dyDescent="0.25">
      <c r="A104" s="66">
        <v>46263</v>
      </c>
      <c r="B104" s="17" t="s">
        <v>314</v>
      </c>
      <c r="C104" s="17"/>
      <c r="D104" s="17" t="s">
        <v>263</v>
      </c>
      <c r="E104" s="17"/>
      <c r="F104" s="17">
        <v>1</v>
      </c>
      <c r="G104" s="76">
        <v>18000</v>
      </c>
      <c r="H104" s="19">
        <f t="shared" si="6"/>
        <v>18000</v>
      </c>
      <c r="I104" s="149"/>
      <c r="J104" s="81"/>
    </row>
    <row r="105" spans="1:10" x14ac:dyDescent="0.25">
      <c r="A105" s="66">
        <v>46263</v>
      </c>
      <c r="B105" s="17" t="s">
        <v>314</v>
      </c>
      <c r="C105" s="17"/>
      <c r="D105" s="17" t="s">
        <v>206</v>
      </c>
      <c r="E105" s="17"/>
      <c r="F105" s="17">
        <v>1</v>
      </c>
      <c r="G105" s="76">
        <v>12000</v>
      </c>
      <c r="H105" s="19">
        <f t="shared" si="6"/>
        <v>12000</v>
      </c>
      <c r="I105" s="149"/>
      <c r="J105" s="81"/>
    </row>
    <row r="106" spans="1:10" x14ac:dyDescent="0.25">
      <c r="A106" s="66">
        <v>46263</v>
      </c>
      <c r="B106" s="17" t="s">
        <v>314</v>
      </c>
      <c r="C106" s="17"/>
      <c r="D106" s="17" t="s">
        <v>212</v>
      </c>
      <c r="E106" s="17"/>
      <c r="F106" s="17">
        <v>1</v>
      </c>
      <c r="G106" s="76">
        <v>18000</v>
      </c>
      <c r="H106" s="19">
        <f t="shared" si="6"/>
        <v>18000</v>
      </c>
      <c r="I106" s="149"/>
      <c r="J106" s="81"/>
    </row>
    <row r="107" spans="1:10" x14ac:dyDescent="0.25">
      <c r="A107" s="66">
        <v>46263</v>
      </c>
      <c r="B107" s="17" t="s">
        <v>314</v>
      </c>
      <c r="C107" s="17"/>
      <c r="D107" s="17" t="s">
        <v>315</v>
      </c>
      <c r="E107" s="17"/>
      <c r="F107" s="17">
        <v>1</v>
      </c>
      <c r="G107" s="76">
        <v>2000</v>
      </c>
      <c r="H107" s="19">
        <f t="shared" si="6"/>
        <v>2000</v>
      </c>
      <c r="I107" s="149"/>
      <c r="J107" s="81"/>
    </row>
    <row r="108" spans="1:10" x14ac:dyDescent="0.25">
      <c r="A108" s="66">
        <v>46263</v>
      </c>
      <c r="B108" s="17" t="s">
        <v>314</v>
      </c>
      <c r="C108" s="17"/>
      <c r="D108" s="17" t="s">
        <v>316</v>
      </c>
      <c r="E108" s="17"/>
      <c r="F108" s="17">
        <v>1</v>
      </c>
      <c r="G108" s="76">
        <v>9000</v>
      </c>
      <c r="H108" s="19">
        <f t="shared" ref="H108:H121" si="7">F108*G108</f>
        <v>9000</v>
      </c>
      <c r="I108" s="149"/>
      <c r="J108" s="81"/>
    </row>
    <row r="109" spans="1:10" x14ac:dyDescent="0.25">
      <c r="A109" s="66">
        <v>46263</v>
      </c>
      <c r="B109" s="17" t="s">
        <v>314</v>
      </c>
      <c r="C109" s="17"/>
      <c r="D109" s="17" t="s">
        <v>317</v>
      </c>
      <c r="E109" s="17"/>
      <c r="F109" s="17">
        <v>1</v>
      </c>
      <c r="G109" s="76">
        <v>25000</v>
      </c>
      <c r="H109" s="19">
        <f t="shared" si="7"/>
        <v>25000</v>
      </c>
      <c r="I109" s="149"/>
      <c r="J109" s="81"/>
    </row>
    <row r="110" spans="1:10" x14ac:dyDescent="0.25">
      <c r="A110" s="66">
        <v>46263</v>
      </c>
      <c r="B110" s="17" t="s">
        <v>314</v>
      </c>
      <c r="C110" s="17"/>
      <c r="D110" s="17" t="s">
        <v>164</v>
      </c>
      <c r="E110" s="17"/>
      <c r="F110" s="17">
        <v>1</v>
      </c>
      <c r="G110" s="76">
        <v>14000</v>
      </c>
      <c r="H110" s="19">
        <f>F110*G110</f>
        <v>14000</v>
      </c>
      <c r="I110" s="149"/>
      <c r="J110" s="81"/>
    </row>
    <row r="111" spans="1:10" x14ac:dyDescent="0.25">
      <c r="A111" s="66">
        <v>46263</v>
      </c>
      <c r="B111" s="17" t="s">
        <v>314</v>
      </c>
      <c r="C111" s="17"/>
      <c r="D111" s="17" t="s">
        <v>423</v>
      </c>
      <c r="E111" s="17"/>
      <c r="F111" s="17">
        <v>2</v>
      </c>
      <c r="G111" s="76">
        <v>4400</v>
      </c>
      <c r="H111" s="19">
        <f>F111*G111</f>
        <v>8800</v>
      </c>
      <c r="I111" s="149"/>
      <c r="J111" s="81"/>
    </row>
    <row r="112" spans="1:10" x14ac:dyDescent="0.25">
      <c r="A112" s="66">
        <v>46263</v>
      </c>
      <c r="B112" s="17" t="s">
        <v>314</v>
      </c>
      <c r="C112" s="17"/>
      <c r="D112" s="17" t="s">
        <v>195</v>
      </c>
      <c r="E112" s="17"/>
      <c r="F112" s="17">
        <v>1</v>
      </c>
      <c r="G112" s="76">
        <v>6000</v>
      </c>
      <c r="H112" s="19">
        <f t="shared" si="7"/>
        <v>6000</v>
      </c>
      <c r="I112" s="149"/>
      <c r="J112" s="81"/>
    </row>
    <row r="113" spans="1:10" x14ac:dyDescent="0.25">
      <c r="A113" s="66">
        <v>46263</v>
      </c>
      <c r="B113" s="17" t="s">
        <v>251</v>
      </c>
      <c r="C113" s="17"/>
      <c r="D113" s="17" t="s">
        <v>215</v>
      </c>
      <c r="E113" s="17"/>
      <c r="F113" s="17">
        <v>1</v>
      </c>
      <c r="G113" s="76">
        <v>25000</v>
      </c>
      <c r="H113" s="19">
        <f t="shared" si="7"/>
        <v>25000</v>
      </c>
      <c r="I113" s="149"/>
      <c r="J113" s="81"/>
    </row>
    <row r="114" spans="1:10" x14ac:dyDescent="0.25">
      <c r="A114" s="66">
        <v>46263</v>
      </c>
      <c r="B114" s="17" t="s">
        <v>251</v>
      </c>
      <c r="C114" s="17"/>
      <c r="D114" s="17" t="s">
        <v>204</v>
      </c>
      <c r="E114" s="17"/>
      <c r="F114" s="17">
        <v>1</v>
      </c>
      <c r="G114" s="76">
        <v>18000</v>
      </c>
      <c r="H114" s="19">
        <f t="shared" si="7"/>
        <v>18000</v>
      </c>
      <c r="I114" s="149"/>
      <c r="J114" s="81"/>
    </row>
    <row r="115" spans="1:10" x14ac:dyDescent="0.25">
      <c r="A115" s="66">
        <v>46263</v>
      </c>
      <c r="B115" s="17" t="s">
        <v>318</v>
      </c>
      <c r="C115" s="17"/>
      <c r="D115" s="17" t="s">
        <v>36</v>
      </c>
      <c r="E115" s="17"/>
      <c r="F115" s="17">
        <v>1</v>
      </c>
      <c r="G115" s="76">
        <v>50000</v>
      </c>
      <c r="H115" s="19">
        <f t="shared" si="7"/>
        <v>50000</v>
      </c>
      <c r="I115" s="149"/>
      <c r="J115" s="81"/>
    </row>
    <row r="116" spans="1:10" x14ac:dyDescent="0.25">
      <c r="A116" s="66">
        <v>46263</v>
      </c>
      <c r="B116" s="17" t="s">
        <v>318</v>
      </c>
      <c r="C116" s="17"/>
      <c r="D116" s="17" t="s">
        <v>68</v>
      </c>
      <c r="E116" s="17"/>
      <c r="F116" s="17">
        <v>1</v>
      </c>
      <c r="G116" s="76">
        <v>30000</v>
      </c>
      <c r="H116" s="19">
        <f t="shared" si="7"/>
        <v>30000</v>
      </c>
      <c r="I116" s="149"/>
      <c r="J116" s="81"/>
    </row>
    <row r="117" spans="1:10" x14ac:dyDescent="0.25">
      <c r="A117" s="66">
        <v>46263</v>
      </c>
      <c r="B117" s="17" t="s">
        <v>318</v>
      </c>
      <c r="C117" s="17"/>
      <c r="D117" s="17" t="s">
        <v>321</v>
      </c>
      <c r="E117" s="17"/>
      <c r="F117" s="17">
        <v>1</v>
      </c>
      <c r="G117" s="76">
        <v>20000</v>
      </c>
      <c r="H117" s="19">
        <f t="shared" si="7"/>
        <v>20000</v>
      </c>
      <c r="I117" s="149"/>
      <c r="J117" s="81"/>
    </row>
    <row r="118" spans="1:10" x14ac:dyDescent="0.25">
      <c r="A118" s="66">
        <v>46263</v>
      </c>
      <c r="B118" s="17" t="s">
        <v>319</v>
      </c>
      <c r="C118" s="17"/>
      <c r="D118" s="17" t="s">
        <v>320</v>
      </c>
      <c r="E118" s="17"/>
      <c r="F118" s="17">
        <v>1</v>
      </c>
      <c r="G118" s="76">
        <v>9000</v>
      </c>
      <c r="H118" s="19">
        <f t="shared" si="7"/>
        <v>9000</v>
      </c>
      <c r="I118" s="149"/>
      <c r="J118" s="81"/>
    </row>
    <row r="119" spans="1:10" x14ac:dyDescent="0.25">
      <c r="A119" s="66">
        <v>46263</v>
      </c>
      <c r="B119" s="17" t="s">
        <v>322</v>
      </c>
      <c r="C119" s="17"/>
      <c r="D119" s="17" t="s">
        <v>395</v>
      </c>
      <c r="E119" s="17"/>
      <c r="F119" s="17">
        <v>1</v>
      </c>
      <c r="G119" s="76">
        <v>9000</v>
      </c>
      <c r="H119" s="19">
        <f t="shared" si="7"/>
        <v>9000</v>
      </c>
      <c r="I119" s="149"/>
      <c r="J119" s="81"/>
    </row>
    <row r="120" spans="1:10" x14ac:dyDescent="0.25">
      <c r="A120" s="66">
        <v>46263</v>
      </c>
      <c r="B120" s="17" t="s">
        <v>322</v>
      </c>
      <c r="C120" s="17"/>
      <c r="D120" s="17" t="s">
        <v>204</v>
      </c>
      <c r="E120" s="17"/>
      <c r="F120" s="17">
        <v>1</v>
      </c>
      <c r="G120" s="76">
        <v>9000</v>
      </c>
      <c r="H120" s="19">
        <f t="shared" si="7"/>
        <v>9000</v>
      </c>
      <c r="I120" s="149"/>
      <c r="J120" s="81"/>
    </row>
    <row r="121" spans="1:10" x14ac:dyDescent="0.25">
      <c r="A121" s="66">
        <v>46263</v>
      </c>
      <c r="B121" s="17" t="s">
        <v>322</v>
      </c>
      <c r="C121" s="17"/>
      <c r="D121" s="17" t="s">
        <v>196</v>
      </c>
      <c r="E121" s="17"/>
      <c r="F121" s="17">
        <v>1</v>
      </c>
      <c r="G121" s="76">
        <v>14000</v>
      </c>
      <c r="H121" s="19">
        <f t="shared" si="7"/>
        <v>14000</v>
      </c>
      <c r="I121" s="149"/>
      <c r="J121" s="81"/>
    </row>
    <row r="122" spans="1:10" x14ac:dyDescent="0.25">
      <c r="A122" s="66">
        <v>46263</v>
      </c>
      <c r="B122" s="17" t="s">
        <v>323</v>
      </c>
      <c r="C122" s="17"/>
      <c r="D122" s="17" t="s">
        <v>324</v>
      </c>
      <c r="E122" s="17"/>
      <c r="F122" s="17">
        <v>1</v>
      </c>
      <c r="G122" s="76">
        <v>25000</v>
      </c>
      <c r="H122" s="19">
        <f t="shared" ref="H122:H173" si="8">F122*G122</f>
        <v>25000</v>
      </c>
      <c r="I122" s="149"/>
      <c r="J122" s="81"/>
    </row>
    <row r="123" spans="1:10" x14ac:dyDescent="0.25">
      <c r="A123" s="66">
        <v>46263</v>
      </c>
      <c r="B123" s="17" t="s">
        <v>323</v>
      </c>
      <c r="C123" s="17"/>
      <c r="D123" s="17" t="s">
        <v>325</v>
      </c>
      <c r="E123" s="17"/>
      <c r="F123" s="17">
        <v>1</v>
      </c>
      <c r="G123" s="76">
        <v>8000</v>
      </c>
      <c r="H123" s="19">
        <f t="shared" si="8"/>
        <v>8000</v>
      </c>
      <c r="I123" s="149"/>
      <c r="J123" s="81"/>
    </row>
    <row r="124" spans="1:10" x14ac:dyDescent="0.25">
      <c r="A124" s="66">
        <v>46263</v>
      </c>
      <c r="B124" s="17" t="s">
        <v>323</v>
      </c>
      <c r="C124" s="17"/>
      <c r="D124" s="17" t="s">
        <v>257</v>
      </c>
      <c r="E124" s="17"/>
      <c r="F124" s="17">
        <v>1</v>
      </c>
      <c r="G124" s="76">
        <v>3000</v>
      </c>
      <c r="H124" s="19">
        <f t="shared" si="8"/>
        <v>3000</v>
      </c>
      <c r="I124" s="149"/>
      <c r="J124" s="81"/>
    </row>
    <row r="125" spans="1:10" x14ac:dyDescent="0.25">
      <c r="A125" s="66">
        <v>46263</v>
      </c>
      <c r="B125" s="17" t="s">
        <v>326</v>
      </c>
      <c r="C125" s="17"/>
      <c r="D125" s="17" t="s">
        <v>362</v>
      </c>
      <c r="E125" s="17"/>
      <c r="F125" s="17">
        <v>1</v>
      </c>
      <c r="G125" s="76">
        <v>2500</v>
      </c>
      <c r="H125" s="19">
        <f t="shared" si="8"/>
        <v>2500</v>
      </c>
      <c r="I125" s="149"/>
      <c r="J125" s="81"/>
    </row>
    <row r="126" spans="1:10" x14ac:dyDescent="0.25">
      <c r="A126" s="66">
        <v>46263</v>
      </c>
      <c r="B126" s="17" t="s">
        <v>327</v>
      </c>
      <c r="C126" s="17"/>
      <c r="D126" s="17" t="s">
        <v>328</v>
      </c>
      <c r="E126" s="17"/>
      <c r="F126" s="17">
        <v>1</v>
      </c>
      <c r="G126" s="76">
        <v>4000</v>
      </c>
      <c r="H126" s="19">
        <f t="shared" si="8"/>
        <v>4000</v>
      </c>
      <c r="I126" s="149"/>
      <c r="J126" s="81"/>
    </row>
    <row r="127" spans="1:10" x14ac:dyDescent="0.25">
      <c r="A127" s="66">
        <v>46263</v>
      </c>
      <c r="B127" s="17" t="s">
        <v>327</v>
      </c>
      <c r="C127" s="17"/>
      <c r="D127" s="17" t="s">
        <v>361</v>
      </c>
      <c r="E127" s="17"/>
      <c r="F127" s="17">
        <v>1</v>
      </c>
      <c r="G127" s="76">
        <v>3000</v>
      </c>
      <c r="H127" s="19">
        <f t="shared" si="8"/>
        <v>3000</v>
      </c>
      <c r="I127" s="149"/>
      <c r="J127" s="81"/>
    </row>
    <row r="128" spans="1:10" x14ac:dyDescent="0.25">
      <c r="A128" s="66">
        <v>46263</v>
      </c>
      <c r="B128" s="17" t="s">
        <v>329</v>
      </c>
      <c r="C128" s="17"/>
      <c r="D128" s="17" t="s">
        <v>263</v>
      </c>
      <c r="E128" s="17"/>
      <c r="F128" s="17">
        <v>1</v>
      </c>
      <c r="G128" s="76">
        <v>18000</v>
      </c>
      <c r="H128" s="19">
        <f t="shared" si="8"/>
        <v>18000</v>
      </c>
      <c r="I128" s="150"/>
      <c r="J128" s="81"/>
    </row>
    <row r="129" spans="1:10" x14ac:dyDescent="0.25">
      <c r="A129" s="66">
        <v>46264</v>
      </c>
      <c r="B129" s="17" t="s">
        <v>330</v>
      </c>
      <c r="C129" s="17"/>
      <c r="D129" s="17" t="s">
        <v>381</v>
      </c>
      <c r="E129" s="17"/>
      <c r="F129" s="17">
        <v>1</v>
      </c>
      <c r="G129" s="76">
        <v>15000</v>
      </c>
      <c r="H129" s="19">
        <f t="shared" si="8"/>
        <v>15000</v>
      </c>
      <c r="I129" s="154">
        <f>SUM(H129:H157)</f>
        <v>359000</v>
      </c>
      <c r="J129" s="81"/>
    </row>
    <row r="130" spans="1:10" x14ac:dyDescent="0.25">
      <c r="A130" s="66">
        <v>46264</v>
      </c>
      <c r="B130" s="17" t="s">
        <v>331</v>
      </c>
      <c r="C130" s="17"/>
      <c r="D130" s="17" t="s">
        <v>325</v>
      </c>
      <c r="E130" s="17"/>
      <c r="F130" s="17">
        <v>1</v>
      </c>
      <c r="G130" s="76">
        <v>7500</v>
      </c>
      <c r="H130" s="19">
        <f t="shared" si="8"/>
        <v>7500</v>
      </c>
      <c r="I130" s="155"/>
      <c r="J130" s="81"/>
    </row>
    <row r="131" spans="1:10" x14ac:dyDescent="0.25">
      <c r="A131" s="66">
        <v>46264</v>
      </c>
      <c r="B131" s="17" t="s">
        <v>331</v>
      </c>
      <c r="C131" s="17"/>
      <c r="D131" s="17" t="s">
        <v>257</v>
      </c>
      <c r="E131" s="17"/>
      <c r="F131" s="17">
        <v>3</v>
      </c>
      <c r="G131" s="76">
        <v>3000</v>
      </c>
      <c r="H131" s="19">
        <f t="shared" si="8"/>
        <v>9000</v>
      </c>
      <c r="I131" s="155"/>
      <c r="J131" s="81"/>
    </row>
    <row r="132" spans="1:10" x14ac:dyDescent="0.25">
      <c r="A132" s="66">
        <v>46264</v>
      </c>
      <c r="B132" s="17" t="s">
        <v>333</v>
      </c>
      <c r="C132" s="17"/>
      <c r="D132" s="90" t="s">
        <v>334</v>
      </c>
      <c r="E132" s="17"/>
      <c r="F132" s="17">
        <v>4</v>
      </c>
      <c r="G132" s="76">
        <v>2500</v>
      </c>
      <c r="H132" s="19">
        <f t="shared" si="8"/>
        <v>10000</v>
      </c>
      <c r="I132" s="155"/>
      <c r="J132" s="81"/>
    </row>
    <row r="133" spans="1:10" x14ac:dyDescent="0.25">
      <c r="A133" s="66">
        <v>46264</v>
      </c>
      <c r="B133" s="17" t="s">
        <v>335</v>
      </c>
      <c r="C133" s="17"/>
      <c r="D133" s="17" t="s">
        <v>426</v>
      </c>
      <c r="E133" s="17"/>
      <c r="F133" s="17">
        <v>2</v>
      </c>
      <c r="G133" s="76">
        <v>2500</v>
      </c>
      <c r="H133" s="19">
        <f t="shared" si="8"/>
        <v>5000</v>
      </c>
      <c r="I133" s="155"/>
      <c r="J133" s="81"/>
    </row>
    <row r="134" spans="1:10" x14ac:dyDescent="0.25">
      <c r="A134" s="66">
        <v>46264</v>
      </c>
      <c r="B134" s="17" t="s">
        <v>335</v>
      </c>
      <c r="C134" s="17"/>
      <c r="D134" s="17" t="s">
        <v>384</v>
      </c>
      <c r="E134" s="17"/>
      <c r="F134" s="17">
        <v>2</v>
      </c>
      <c r="G134" s="76">
        <v>2500</v>
      </c>
      <c r="H134" s="19">
        <f t="shared" si="8"/>
        <v>5000</v>
      </c>
      <c r="I134" s="155"/>
      <c r="J134" s="81"/>
    </row>
    <row r="135" spans="1:10" x14ac:dyDescent="0.25">
      <c r="A135" s="66">
        <v>46264</v>
      </c>
      <c r="B135" s="17" t="s">
        <v>335</v>
      </c>
      <c r="C135" s="17"/>
      <c r="D135" s="17" t="s">
        <v>254</v>
      </c>
      <c r="E135" s="17"/>
      <c r="F135" s="17">
        <v>1</v>
      </c>
      <c r="G135" s="76">
        <v>6000</v>
      </c>
      <c r="H135" s="19">
        <f t="shared" si="8"/>
        <v>6000</v>
      </c>
      <c r="I135" s="155"/>
      <c r="J135" s="81"/>
    </row>
    <row r="136" spans="1:10" x14ac:dyDescent="0.25">
      <c r="A136" s="66">
        <v>46264</v>
      </c>
      <c r="B136" s="17" t="s">
        <v>336</v>
      </c>
      <c r="C136" s="17"/>
      <c r="D136" s="17" t="s">
        <v>320</v>
      </c>
      <c r="E136" s="17"/>
      <c r="F136" s="17">
        <v>2</v>
      </c>
      <c r="G136" s="76">
        <v>9000</v>
      </c>
      <c r="H136" s="19">
        <f t="shared" si="8"/>
        <v>18000</v>
      </c>
      <c r="I136" s="155"/>
      <c r="J136" s="81"/>
    </row>
    <row r="137" spans="1:10" x14ac:dyDescent="0.25">
      <c r="A137" s="66">
        <v>46264</v>
      </c>
      <c r="B137" s="17" t="s">
        <v>336</v>
      </c>
      <c r="C137" s="17"/>
      <c r="D137" s="17" t="s">
        <v>362</v>
      </c>
      <c r="E137" s="17"/>
      <c r="F137" s="17">
        <v>2</v>
      </c>
      <c r="G137" s="76">
        <v>3000</v>
      </c>
      <c r="H137" s="19">
        <f t="shared" si="8"/>
        <v>6000</v>
      </c>
      <c r="I137" s="155"/>
      <c r="J137" s="81"/>
    </row>
    <row r="138" spans="1:10" x14ac:dyDescent="0.25">
      <c r="A138" s="66">
        <v>46264</v>
      </c>
      <c r="B138" s="17" t="s">
        <v>336</v>
      </c>
      <c r="C138" s="17"/>
      <c r="D138" s="17" t="s">
        <v>425</v>
      </c>
      <c r="E138" s="17"/>
      <c r="F138" s="17">
        <v>1</v>
      </c>
      <c r="G138" s="76">
        <v>7500</v>
      </c>
      <c r="H138" s="19">
        <f t="shared" si="8"/>
        <v>7500</v>
      </c>
      <c r="I138" s="155"/>
      <c r="J138" s="81"/>
    </row>
    <row r="139" spans="1:10" x14ac:dyDescent="0.25">
      <c r="A139" s="66">
        <v>46264</v>
      </c>
      <c r="B139" s="17" t="s">
        <v>337</v>
      </c>
      <c r="C139" s="17"/>
      <c r="D139" s="17" t="s">
        <v>423</v>
      </c>
      <c r="E139" s="17"/>
      <c r="F139" s="17">
        <v>2</v>
      </c>
      <c r="G139" s="76">
        <v>7000</v>
      </c>
      <c r="H139" s="19">
        <f t="shared" si="8"/>
        <v>14000</v>
      </c>
      <c r="I139" s="155"/>
      <c r="J139" s="81"/>
    </row>
    <row r="140" spans="1:10" x14ac:dyDescent="0.25">
      <c r="A140" s="66">
        <v>46264</v>
      </c>
      <c r="B140" s="17" t="s">
        <v>338</v>
      </c>
      <c r="C140" s="17"/>
      <c r="D140" s="17" t="s">
        <v>736</v>
      </c>
      <c r="E140" s="17"/>
      <c r="F140" s="17">
        <v>2</v>
      </c>
      <c r="G140" s="76">
        <v>15000</v>
      </c>
      <c r="H140" s="19">
        <f t="shared" si="8"/>
        <v>30000</v>
      </c>
      <c r="I140" s="155"/>
      <c r="J140" s="81"/>
    </row>
    <row r="141" spans="1:10" x14ac:dyDescent="0.25">
      <c r="A141" s="66">
        <v>46264</v>
      </c>
      <c r="B141" s="17" t="s">
        <v>338</v>
      </c>
      <c r="C141" s="17"/>
      <c r="D141" s="17" t="s">
        <v>339</v>
      </c>
      <c r="E141" s="17"/>
      <c r="F141" s="17">
        <v>1</v>
      </c>
      <c r="G141" s="76">
        <v>7000</v>
      </c>
      <c r="H141" s="19">
        <f t="shared" si="8"/>
        <v>7000</v>
      </c>
      <c r="I141" s="155"/>
      <c r="J141" s="81"/>
    </row>
    <row r="142" spans="1:10" x14ac:dyDescent="0.25">
      <c r="A142" s="66">
        <v>46264</v>
      </c>
      <c r="B142" s="17" t="s">
        <v>340</v>
      </c>
      <c r="C142" s="17"/>
      <c r="D142" s="17" t="s">
        <v>396</v>
      </c>
      <c r="E142" s="17"/>
      <c r="F142" s="17">
        <v>1</v>
      </c>
      <c r="G142" s="76">
        <v>10000</v>
      </c>
      <c r="H142" s="19">
        <f t="shared" si="8"/>
        <v>10000</v>
      </c>
      <c r="I142" s="155"/>
      <c r="J142" s="81"/>
    </row>
    <row r="143" spans="1:10" x14ac:dyDescent="0.25">
      <c r="A143" s="66">
        <v>46264</v>
      </c>
      <c r="B143" s="17" t="s">
        <v>341</v>
      </c>
      <c r="C143" s="17"/>
      <c r="D143" s="17" t="s">
        <v>303</v>
      </c>
      <c r="E143" s="17"/>
      <c r="F143" s="17">
        <v>1</v>
      </c>
      <c r="G143" s="76">
        <v>12000</v>
      </c>
      <c r="H143" s="19">
        <f t="shared" si="8"/>
        <v>12000</v>
      </c>
      <c r="I143" s="155"/>
      <c r="J143" s="81"/>
    </row>
    <row r="144" spans="1:10" x14ac:dyDescent="0.25">
      <c r="A144" s="66">
        <v>46264</v>
      </c>
      <c r="B144" s="17" t="s">
        <v>342</v>
      </c>
      <c r="C144" s="17"/>
      <c r="D144" s="17" t="s">
        <v>145</v>
      </c>
      <c r="E144" s="17"/>
      <c r="F144" s="17">
        <v>1</v>
      </c>
      <c r="G144" s="76">
        <v>9000</v>
      </c>
      <c r="H144" s="19">
        <f t="shared" si="8"/>
        <v>9000</v>
      </c>
      <c r="I144" s="155"/>
      <c r="J144" s="81"/>
    </row>
    <row r="145" spans="1:10" x14ac:dyDescent="0.25">
      <c r="A145" s="66">
        <v>46264</v>
      </c>
      <c r="B145" s="17" t="s">
        <v>342</v>
      </c>
      <c r="C145" s="17"/>
      <c r="D145" s="17" t="s">
        <v>339</v>
      </c>
      <c r="E145" s="17"/>
      <c r="F145" s="17">
        <v>1</v>
      </c>
      <c r="G145" s="76">
        <v>7000</v>
      </c>
      <c r="H145" s="19">
        <f t="shared" si="8"/>
        <v>7000</v>
      </c>
      <c r="I145" s="155"/>
      <c r="J145" s="81"/>
    </row>
    <row r="146" spans="1:10" x14ac:dyDescent="0.25">
      <c r="A146" s="66">
        <v>46264</v>
      </c>
      <c r="B146" s="17" t="s">
        <v>343</v>
      </c>
      <c r="C146" s="17"/>
      <c r="D146" s="17" t="s">
        <v>277</v>
      </c>
      <c r="E146" s="17"/>
      <c r="F146" s="17">
        <v>20</v>
      </c>
      <c r="G146" s="76">
        <v>1800</v>
      </c>
      <c r="H146" s="19">
        <f t="shared" si="8"/>
        <v>36000</v>
      </c>
      <c r="I146" s="155"/>
      <c r="J146" s="81"/>
    </row>
    <row r="147" spans="1:10" x14ac:dyDescent="0.25">
      <c r="A147" s="66">
        <v>46264</v>
      </c>
      <c r="B147" s="17" t="s">
        <v>344</v>
      </c>
      <c r="C147" s="17"/>
      <c r="D147" s="17" t="s">
        <v>290</v>
      </c>
      <c r="E147" s="17"/>
      <c r="F147" s="17">
        <v>1</v>
      </c>
      <c r="G147" s="76">
        <v>3000</v>
      </c>
      <c r="H147" s="19">
        <f t="shared" si="8"/>
        <v>3000</v>
      </c>
      <c r="I147" s="155"/>
      <c r="J147" s="81"/>
    </row>
    <row r="148" spans="1:10" x14ac:dyDescent="0.25">
      <c r="A148" s="66">
        <v>46264</v>
      </c>
      <c r="B148" s="17" t="s">
        <v>344</v>
      </c>
      <c r="C148" s="17"/>
      <c r="D148" s="17" t="s">
        <v>243</v>
      </c>
      <c r="E148" s="17"/>
      <c r="F148" s="17">
        <v>1</v>
      </c>
      <c r="G148" s="76">
        <v>9000</v>
      </c>
      <c r="H148" s="19">
        <f t="shared" si="8"/>
        <v>9000</v>
      </c>
      <c r="I148" s="155"/>
      <c r="J148" s="81"/>
    </row>
    <row r="149" spans="1:10" x14ac:dyDescent="0.25">
      <c r="A149" s="66">
        <v>46264</v>
      </c>
      <c r="B149" s="17" t="s">
        <v>345</v>
      </c>
      <c r="C149" s="17"/>
      <c r="D149" s="17" t="s">
        <v>325</v>
      </c>
      <c r="E149" s="17"/>
      <c r="F149" s="17">
        <v>1</v>
      </c>
      <c r="G149" s="76">
        <v>8000</v>
      </c>
      <c r="H149" s="19">
        <f t="shared" si="8"/>
        <v>8000</v>
      </c>
      <c r="I149" s="155"/>
      <c r="J149" s="81"/>
    </row>
    <row r="150" spans="1:10" x14ac:dyDescent="0.25">
      <c r="A150" s="66">
        <v>46264</v>
      </c>
      <c r="B150" s="17" t="s">
        <v>345</v>
      </c>
      <c r="C150" s="17"/>
      <c r="D150" s="17" t="s">
        <v>346</v>
      </c>
      <c r="E150" s="17"/>
      <c r="F150" s="17">
        <v>1</v>
      </c>
      <c r="G150" s="76">
        <v>6000</v>
      </c>
      <c r="H150" s="19">
        <f t="shared" si="8"/>
        <v>6000</v>
      </c>
      <c r="I150" s="155"/>
      <c r="J150" s="81"/>
    </row>
    <row r="151" spans="1:10" x14ac:dyDescent="0.25">
      <c r="A151" s="66">
        <v>46264</v>
      </c>
      <c r="B151" s="17" t="s">
        <v>347</v>
      </c>
      <c r="C151" s="17"/>
      <c r="D151" s="17" t="s">
        <v>211</v>
      </c>
      <c r="E151" s="17"/>
      <c r="F151" s="17">
        <v>1</v>
      </c>
      <c r="G151" s="76">
        <v>8000</v>
      </c>
      <c r="H151" s="19">
        <f t="shared" si="8"/>
        <v>8000</v>
      </c>
      <c r="I151" s="155"/>
      <c r="J151" s="81"/>
    </row>
    <row r="152" spans="1:10" x14ac:dyDescent="0.25">
      <c r="A152" s="66">
        <v>46264</v>
      </c>
      <c r="B152" s="17" t="s">
        <v>347</v>
      </c>
      <c r="C152" s="17"/>
      <c r="D152" s="17" t="s">
        <v>52</v>
      </c>
      <c r="E152" s="17"/>
      <c r="F152" s="17">
        <v>1</v>
      </c>
      <c r="G152" s="76">
        <v>20000</v>
      </c>
      <c r="H152" s="19">
        <f t="shared" si="8"/>
        <v>20000</v>
      </c>
      <c r="I152" s="155"/>
      <c r="J152" s="81"/>
    </row>
    <row r="153" spans="1:10" x14ac:dyDescent="0.25">
      <c r="A153" s="66">
        <v>46264</v>
      </c>
      <c r="B153" s="17" t="s">
        <v>347</v>
      </c>
      <c r="C153" s="17"/>
      <c r="D153" s="17" t="s">
        <v>348</v>
      </c>
      <c r="E153" s="17"/>
      <c r="F153" s="17">
        <v>1</v>
      </c>
      <c r="G153" s="76">
        <v>8000</v>
      </c>
      <c r="H153" s="19">
        <f t="shared" si="8"/>
        <v>8000</v>
      </c>
      <c r="I153" s="155"/>
      <c r="J153" s="81"/>
    </row>
    <row r="154" spans="1:10" x14ac:dyDescent="0.25">
      <c r="A154" s="66">
        <v>46264</v>
      </c>
      <c r="B154" s="17" t="s">
        <v>349</v>
      </c>
      <c r="C154" s="17"/>
      <c r="D154" s="17" t="s">
        <v>243</v>
      </c>
      <c r="E154" s="17"/>
      <c r="F154" s="17">
        <v>1</v>
      </c>
      <c r="G154" s="76">
        <v>9000</v>
      </c>
      <c r="H154" s="19">
        <f t="shared" si="8"/>
        <v>9000</v>
      </c>
      <c r="I154" s="155"/>
      <c r="J154" s="81"/>
    </row>
    <row r="155" spans="1:10" x14ac:dyDescent="0.25">
      <c r="A155" s="66">
        <v>46264</v>
      </c>
      <c r="B155" s="17" t="s">
        <v>350</v>
      </c>
      <c r="C155" s="17"/>
      <c r="D155" s="17" t="s">
        <v>423</v>
      </c>
      <c r="E155" s="17"/>
      <c r="F155" s="17">
        <v>4</v>
      </c>
      <c r="G155" s="76">
        <v>4500</v>
      </c>
      <c r="H155" s="19">
        <f t="shared" si="8"/>
        <v>18000</v>
      </c>
      <c r="I155" s="155"/>
      <c r="J155" s="81"/>
    </row>
    <row r="156" spans="1:10" x14ac:dyDescent="0.25">
      <c r="A156" s="66">
        <v>46264</v>
      </c>
      <c r="B156" s="17" t="s">
        <v>350</v>
      </c>
      <c r="C156" s="17"/>
      <c r="D156" s="17" t="s">
        <v>143</v>
      </c>
      <c r="E156" s="17"/>
      <c r="F156" s="17">
        <v>1</v>
      </c>
      <c r="G156" s="76">
        <v>50000</v>
      </c>
      <c r="H156" s="19">
        <f t="shared" si="8"/>
        <v>50000</v>
      </c>
      <c r="I156" s="155"/>
      <c r="J156" s="81"/>
    </row>
    <row r="157" spans="1:10" x14ac:dyDescent="0.25">
      <c r="A157" s="66">
        <v>46264</v>
      </c>
      <c r="B157" s="17" t="s">
        <v>351</v>
      </c>
      <c r="C157" s="17"/>
      <c r="D157" s="17" t="s">
        <v>45</v>
      </c>
      <c r="E157" s="17"/>
      <c r="F157" s="17">
        <v>1</v>
      </c>
      <c r="G157" s="76">
        <v>6000</v>
      </c>
      <c r="H157" s="19">
        <f t="shared" si="8"/>
        <v>6000</v>
      </c>
      <c r="I157" s="156"/>
      <c r="J157" s="81"/>
    </row>
    <row r="158" spans="1:10" x14ac:dyDescent="0.25">
      <c r="A158" s="66">
        <v>46265</v>
      </c>
      <c r="B158" s="17" t="s">
        <v>354</v>
      </c>
      <c r="C158" s="17"/>
      <c r="D158" s="17" t="s">
        <v>255</v>
      </c>
      <c r="E158" s="17"/>
      <c r="F158" s="17">
        <v>1</v>
      </c>
      <c r="G158" s="76">
        <v>9000</v>
      </c>
      <c r="H158" s="19">
        <f t="shared" si="8"/>
        <v>9000</v>
      </c>
      <c r="I158" s="140">
        <f>SUM(H158:H160)</f>
        <v>34000</v>
      </c>
      <c r="J158" s="81"/>
    </row>
    <row r="159" spans="1:10" x14ac:dyDescent="0.25">
      <c r="A159" s="66">
        <v>46265</v>
      </c>
      <c r="B159" s="17" t="s">
        <v>350</v>
      </c>
      <c r="C159" s="17"/>
      <c r="D159" s="17" t="s">
        <v>211</v>
      </c>
      <c r="E159" s="17"/>
      <c r="F159" s="17">
        <v>2</v>
      </c>
      <c r="G159" s="76">
        <v>8000</v>
      </c>
      <c r="H159" s="19">
        <f t="shared" si="8"/>
        <v>16000</v>
      </c>
      <c r="I159" s="141"/>
      <c r="J159" s="81"/>
    </row>
    <row r="160" spans="1:10" s="89" customFormat="1" x14ac:dyDescent="0.25">
      <c r="A160" s="66">
        <v>46265</v>
      </c>
      <c r="B160" s="17" t="s">
        <v>350</v>
      </c>
      <c r="C160" s="17"/>
      <c r="D160" s="17" t="s">
        <v>423</v>
      </c>
      <c r="E160" s="17"/>
      <c r="F160" s="17">
        <v>2</v>
      </c>
      <c r="G160" s="76">
        <v>4500</v>
      </c>
      <c r="H160" s="19">
        <f t="shared" si="8"/>
        <v>9000</v>
      </c>
      <c r="I160" s="142"/>
      <c r="J160" s="88"/>
    </row>
    <row r="161" spans="1:10" x14ac:dyDescent="0.25">
      <c r="A161" s="84">
        <v>46266</v>
      </c>
      <c r="B161" s="85" t="s">
        <v>372</v>
      </c>
      <c r="C161" s="85"/>
      <c r="D161" s="85" t="s">
        <v>277</v>
      </c>
      <c r="E161" s="85"/>
      <c r="F161" s="85">
        <v>10</v>
      </c>
      <c r="G161" s="86">
        <v>1800</v>
      </c>
      <c r="H161" s="87">
        <f t="shared" si="8"/>
        <v>18000</v>
      </c>
      <c r="I161" s="140">
        <f>SUM(H161:H164)</f>
        <v>111000</v>
      </c>
      <c r="J161" s="81"/>
    </row>
    <row r="162" spans="1:10" x14ac:dyDescent="0.25">
      <c r="A162" s="66">
        <v>46266</v>
      </c>
      <c r="B162" s="17" t="s">
        <v>372</v>
      </c>
      <c r="C162" s="17"/>
      <c r="D162" s="17" t="s">
        <v>373</v>
      </c>
      <c r="E162" s="17"/>
      <c r="F162" s="17">
        <v>1</v>
      </c>
      <c r="G162" s="76">
        <v>60000</v>
      </c>
      <c r="H162" s="19">
        <f t="shared" si="8"/>
        <v>60000</v>
      </c>
      <c r="I162" s="141"/>
      <c r="J162" s="81"/>
    </row>
    <row r="163" spans="1:10" x14ac:dyDescent="0.25">
      <c r="A163" s="84">
        <v>46266</v>
      </c>
      <c r="B163" s="17" t="s">
        <v>374</v>
      </c>
      <c r="C163" s="17"/>
      <c r="D163" s="17" t="s">
        <v>375</v>
      </c>
      <c r="E163" s="17"/>
      <c r="F163" s="17">
        <v>3</v>
      </c>
      <c r="G163" s="76">
        <v>10000</v>
      </c>
      <c r="H163" s="19">
        <f t="shared" si="8"/>
        <v>30000</v>
      </c>
      <c r="I163" s="141"/>
      <c r="J163" s="81"/>
    </row>
    <row r="164" spans="1:10" x14ac:dyDescent="0.25">
      <c r="A164" s="66">
        <v>46266</v>
      </c>
      <c r="B164" s="17" t="s">
        <v>379</v>
      </c>
      <c r="C164" s="17"/>
      <c r="D164" s="17" t="s">
        <v>380</v>
      </c>
      <c r="E164" s="17"/>
      <c r="F164" s="17">
        <v>1</v>
      </c>
      <c r="G164" s="76">
        <v>3000</v>
      </c>
      <c r="H164" s="19">
        <f t="shared" si="8"/>
        <v>3000</v>
      </c>
      <c r="I164" s="142"/>
      <c r="J164" s="81"/>
    </row>
    <row r="165" spans="1:10" x14ac:dyDescent="0.25">
      <c r="A165" s="84">
        <v>46267</v>
      </c>
      <c r="B165" s="17" t="s">
        <v>382</v>
      </c>
      <c r="C165" s="17"/>
      <c r="D165" s="17" t="s">
        <v>346</v>
      </c>
      <c r="E165" s="17"/>
      <c r="F165" s="17">
        <v>1</v>
      </c>
      <c r="G165" s="76">
        <v>8000</v>
      </c>
      <c r="H165" s="19">
        <f t="shared" si="8"/>
        <v>8000</v>
      </c>
      <c r="I165" s="148">
        <f>SUM(H165:H173)</f>
        <v>64000</v>
      </c>
      <c r="J165" s="81"/>
    </row>
    <row r="166" spans="1:10" x14ac:dyDescent="0.25">
      <c r="A166" s="84">
        <v>46267</v>
      </c>
      <c r="B166" s="17" t="s">
        <v>398</v>
      </c>
      <c r="C166" s="17"/>
      <c r="D166" s="17" t="s">
        <v>250</v>
      </c>
      <c r="E166" s="17"/>
      <c r="F166" s="17">
        <v>2</v>
      </c>
      <c r="G166" s="76">
        <v>3000</v>
      </c>
      <c r="H166" s="19">
        <f t="shared" si="8"/>
        <v>6000</v>
      </c>
      <c r="I166" s="149"/>
      <c r="J166" s="81"/>
    </row>
    <row r="167" spans="1:10" x14ac:dyDescent="0.25">
      <c r="A167" s="84">
        <v>46267</v>
      </c>
      <c r="B167" s="17" t="s">
        <v>399</v>
      </c>
      <c r="C167" s="17"/>
      <c r="D167" s="17" t="s">
        <v>250</v>
      </c>
      <c r="E167" s="17"/>
      <c r="F167" s="17">
        <v>2</v>
      </c>
      <c r="G167" s="76">
        <v>3000</v>
      </c>
      <c r="H167" s="19">
        <f t="shared" si="8"/>
        <v>6000</v>
      </c>
      <c r="I167" s="149"/>
      <c r="J167" s="81"/>
    </row>
    <row r="168" spans="1:10" x14ac:dyDescent="0.25">
      <c r="A168" s="84">
        <v>46267</v>
      </c>
      <c r="B168" s="17" t="s">
        <v>344</v>
      </c>
      <c r="C168" s="17"/>
      <c r="D168" s="17" t="s">
        <v>320</v>
      </c>
      <c r="E168" s="17"/>
      <c r="F168" s="17">
        <v>1</v>
      </c>
      <c r="G168" s="76">
        <v>8000</v>
      </c>
      <c r="H168" s="19">
        <f t="shared" si="8"/>
        <v>8000</v>
      </c>
      <c r="I168" s="149"/>
      <c r="J168" s="81"/>
    </row>
    <row r="169" spans="1:10" x14ac:dyDescent="0.25">
      <c r="A169" s="84">
        <v>46267</v>
      </c>
      <c r="B169" s="17" t="s">
        <v>330</v>
      </c>
      <c r="C169" s="17"/>
      <c r="D169" s="17" t="s">
        <v>400</v>
      </c>
      <c r="E169" s="17"/>
      <c r="F169" s="17">
        <v>1</v>
      </c>
      <c r="G169" s="76">
        <v>12000</v>
      </c>
      <c r="H169" s="19">
        <f t="shared" si="8"/>
        <v>12000</v>
      </c>
      <c r="I169" s="149"/>
      <c r="J169" s="81"/>
    </row>
    <row r="170" spans="1:10" x14ac:dyDescent="0.25">
      <c r="A170" s="84">
        <v>46267</v>
      </c>
      <c r="B170" s="17" t="s">
        <v>330</v>
      </c>
      <c r="C170" s="17"/>
      <c r="D170" s="17" t="s">
        <v>401</v>
      </c>
      <c r="E170" s="17"/>
      <c r="F170" s="17">
        <v>1</v>
      </c>
      <c r="G170" s="76">
        <v>12000</v>
      </c>
      <c r="H170" s="19">
        <f t="shared" si="8"/>
        <v>12000</v>
      </c>
      <c r="I170" s="149"/>
      <c r="J170" s="81"/>
    </row>
    <row r="171" spans="1:10" x14ac:dyDescent="0.25">
      <c r="A171" s="84">
        <v>46267</v>
      </c>
      <c r="B171" s="17" t="s">
        <v>402</v>
      </c>
      <c r="C171" s="17"/>
      <c r="D171" s="17" t="s">
        <v>307</v>
      </c>
      <c r="E171" s="17"/>
      <c r="F171" s="17">
        <v>2</v>
      </c>
      <c r="G171" s="76">
        <v>3000</v>
      </c>
      <c r="H171" s="19">
        <f t="shared" si="8"/>
        <v>6000</v>
      </c>
      <c r="I171" s="149"/>
      <c r="J171" s="81"/>
    </row>
    <row r="172" spans="1:10" x14ac:dyDescent="0.25">
      <c r="A172" s="84">
        <v>46267</v>
      </c>
      <c r="B172" s="17" t="s">
        <v>402</v>
      </c>
      <c r="C172" s="17"/>
      <c r="D172" s="17" t="s">
        <v>201</v>
      </c>
      <c r="E172" s="17"/>
      <c r="F172" s="17">
        <v>1</v>
      </c>
      <c r="G172" s="76">
        <v>3000</v>
      </c>
      <c r="H172" s="19">
        <f t="shared" si="8"/>
        <v>3000</v>
      </c>
      <c r="I172" s="149"/>
      <c r="J172" s="81"/>
    </row>
    <row r="173" spans="1:10" x14ac:dyDescent="0.25">
      <c r="A173" s="84">
        <v>46267</v>
      </c>
      <c r="B173" s="17" t="s">
        <v>402</v>
      </c>
      <c r="C173" s="17"/>
      <c r="D173" s="17" t="s">
        <v>200</v>
      </c>
      <c r="E173" s="17"/>
      <c r="F173" s="17">
        <v>1</v>
      </c>
      <c r="G173" s="76">
        <v>3000</v>
      </c>
      <c r="H173" s="19">
        <f t="shared" si="8"/>
        <v>3000</v>
      </c>
      <c r="I173" s="150"/>
      <c r="J173" s="81"/>
    </row>
    <row r="174" spans="1:10" x14ac:dyDescent="0.25">
      <c r="A174" s="84">
        <v>46268</v>
      </c>
      <c r="B174" s="17" t="s">
        <v>382</v>
      </c>
      <c r="C174" s="17"/>
      <c r="D174" s="17" t="s">
        <v>171</v>
      </c>
      <c r="E174" s="17"/>
      <c r="F174" s="17">
        <v>2</v>
      </c>
      <c r="G174" s="76">
        <v>6000</v>
      </c>
      <c r="H174" s="19">
        <f>F174*G174</f>
        <v>12000</v>
      </c>
      <c r="I174" s="151">
        <f>SUM(H174:H189)</f>
        <v>291000</v>
      </c>
      <c r="J174" s="81"/>
    </row>
    <row r="175" spans="1:10" x14ac:dyDescent="0.25">
      <c r="A175" s="84">
        <v>46268</v>
      </c>
      <c r="B175" s="17" t="s">
        <v>382</v>
      </c>
      <c r="C175" s="17"/>
      <c r="D175" s="17" t="s">
        <v>427</v>
      </c>
      <c r="E175" s="17"/>
      <c r="F175" s="17">
        <v>1</v>
      </c>
      <c r="G175" s="76">
        <v>10000</v>
      </c>
      <c r="H175" s="19">
        <f t="shared" ref="H175:H186" si="9">F175*G175</f>
        <v>10000</v>
      </c>
      <c r="I175" s="152"/>
      <c r="J175" s="81"/>
    </row>
    <row r="176" spans="1:10" x14ac:dyDescent="0.25">
      <c r="A176" s="84">
        <v>46268</v>
      </c>
      <c r="B176" s="17" t="s">
        <v>413</v>
      </c>
      <c r="C176" s="17"/>
      <c r="D176" s="17" t="s">
        <v>157</v>
      </c>
      <c r="E176" s="17"/>
      <c r="F176" s="17">
        <v>3</v>
      </c>
      <c r="G176" s="76">
        <v>20000</v>
      </c>
      <c r="H176" s="19">
        <f t="shared" si="9"/>
        <v>60000</v>
      </c>
      <c r="I176" s="152"/>
      <c r="J176" s="81"/>
    </row>
    <row r="177" spans="1:10" x14ac:dyDescent="0.25">
      <c r="A177" s="84">
        <v>46268</v>
      </c>
      <c r="B177" s="17" t="s">
        <v>413</v>
      </c>
      <c r="C177" s="17"/>
      <c r="D177" s="17" t="s">
        <v>104</v>
      </c>
      <c r="E177" s="17"/>
      <c r="F177" s="17">
        <v>1</v>
      </c>
      <c r="G177" s="76">
        <v>30000</v>
      </c>
      <c r="H177" s="19">
        <f t="shared" si="9"/>
        <v>30000</v>
      </c>
      <c r="I177" s="152"/>
      <c r="J177" s="81"/>
    </row>
    <row r="178" spans="1:10" x14ac:dyDescent="0.25">
      <c r="A178" s="84">
        <v>46268</v>
      </c>
      <c r="B178" s="17" t="s">
        <v>413</v>
      </c>
      <c r="C178" s="17"/>
      <c r="D178" s="17" t="s">
        <v>321</v>
      </c>
      <c r="E178" s="17"/>
      <c r="F178" s="17">
        <v>1</v>
      </c>
      <c r="G178" s="76">
        <v>15000</v>
      </c>
      <c r="H178" s="19">
        <f t="shared" si="9"/>
        <v>15000</v>
      </c>
      <c r="I178" s="152"/>
      <c r="J178" s="81"/>
    </row>
    <row r="179" spans="1:10" x14ac:dyDescent="0.25">
      <c r="A179" s="84">
        <v>46268</v>
      </c>
      <c r="B179" s="17" t="s">
        <v>413</v>
      </c>
      <c r="C179" s="17"/>
      <c r="D179" s="17" t="s">
        <v>81</v>
      </c>
      <c r="E179" s="17"/>
      <c r="F179" s="17">
        <v>2</v>
      </c>
      <c r="G179" s="76">
        <v>8000</v>
      </c>
      <c r="H179" s="19">
        <f t="shared" si="9"/>
        <v>16000</v>
      </c>
      <c r="I179" s="152"/>
      <c r="J179" s="81"/>
    </row>
    <row r="180" spans="1:10" x14ac:dyDescent="0.25">
      <c r="A180" s="84">
        <v>46268</v>
      </c>
      <c r="B180" s="17" t="s">
        <v>414</v>
      </c>
      <c r="C180" s="17"/>
      <c r="D180" s="17" t="s">
        <v>320</v>
      </c>
      <c r="E180" s="17"/>
      <c r="F180" s="17">
        <v>2</v>
      </c>
      <c r="G180" s="76">
        <v>6000</v>
      </c>
      <c r="H180" s="19">
        <f t="shared" si="9"/>
        <v>12000</v>
      </c>
      <c r="I180" s="152"/>
      <c r="J180" s="81"/>
    </row>
    <row r="181" spans="1:10" x14ac:dyDescent="0.25">
      <c r="A181" s="84">
        <v>46268</v>
      </c>
      <c r="B181" s="17" t="s">
        <v>416</v>
      </c>
      <c r="C181" s="17"/>
      <c r="D181" s="17" t="s">
        <v>104</v>
      </c>
      <c r="E181" s="17"/>
      <c r="F181" s="17">
        <v>1</v>
      </c>
      <c r="G181" s="76">
        <v>30000</v>
      </c>
      <c r="H181" s="19">
        <f>F181*G181</f>
        <v>30000</v>
      </c>
      <c r="I181" s="152"/>
      <c r="J181" s="81"/>
    </row>
    <row r="182" spans="1:10" x14ac:dyDescent="0.25">
      <c r="A182" s="84">
        <v>46268</v>
      </c>
      <c r="B182" s="17" t="s">
        <v>416</v>
      </c>
      <c r="C182" s="17"/>
      <c r="D182" s="17" t="s">
        <v>423</v>
      </c>
      <c r="E182" s="17"/>
      <c r="F182" s="17">
        <v>2</v>
      </c>
      <c r="G182" s="76">
        <v>8000</v>
      </c>
      <c r="H182" s="19">
        <f t="shared" si="9"/>
        <v>16000</v>
      </c>
      <c r="I182" s="152"/>
      <c r="J182" s="81"/>
    </row>
    <row r="183" spans="1:10" x14ac:dyDescent="0.25">
      <c r="A183" s="84">
        <v>46268</v>
      </c>
      <c r="B183" s="17" t="s">
        <v>416</v>
      </c>
      <c r="C183" s="17"/>
      <c r="D183" s="17" t="s">
        <v>248</v>
      </c>
      <c r="E183" s="17"/>
      <c r="F183" s="17">
        <v>4</v>
      </c>
      <c r="G183" s="76">
        <v>8000</v>
      </c>
      <c r="H183" s="19">
        <f t="shared" si="9"/>
        <v>32000</v>
      </c>
      <c r="I183" s="152"/>
      <c r="J183" s="81"/>
    </row>
    <row r="184" spans="1:10" x14ac:dyDescent="0.25">
      <c r="A184" s="84">
        <v>46269</v>
      </c>
      <c r="B184" s="17" t="s">
        <v>382</v>
      </c>
      <c r="C184" s="17"/>
      <c r="D184" s="17" t="s">
        <v>325</v>
      </c>
      <c r="E184" s="17"/>
      <c r="F184" s="17">
        <v>2</v>
      </c>
      <c r="G184" s="76">
        <v>8000</v>
      </c>
      <c r="H184" s="19">
        <f>F184*G184</f>
        <v>16000</v>
      </c>
      <c r="I184" s="152"/>
      <c r="J184" s="81"/>
    </row>
    <row r="185" spans="1:10" x14ac:dyDescent="0.25">
      <c r="A185" s="84">
        <v>46268</v>
      </c>
      <c r="B185" s="17" t="s">
        <v>382</v>
      </c>
      <c r="C185" s="17"/>
      <c r="D185" s="17" t="s">
        <v>417</v>
      </c>
      <c r="E185" s="17"/>
      <c r="F185" s="17">
        <v>2</v>
      </c>
      <c r="G185" s="76">
        <v>7000</v>
      </c>
      <c r="H185" s="19">
        <f t="shared" si="9"/>
        <v>14000</v>
      </c>
      <c r="I185" s="152"/>
      <c r="J185" s="81"/>
    </row>
    <row r="186" spans="1:10" x14ac:dyDescent="0.25">
      <c r="A186" s="84">
        <v>46268</v>
      </c>
      <c r="B186" s="17" t="s">
        <v>283</v>
      </c>
      <c r="C186" s="17"/>
      <c r="D186" s="17" t="s">
        <v>417</v>
      </c>
      <c r="E186" s="17"/>
      <c r="F186" s="17">
        <v>1</v>
      </c>
      <c r="G186" s="76">
        <v>7000</v>
      </c>
      <c r="H186" s="19">
        <f t="shared" si="9"/>
        <v>7000</v>
      </c>
      <c r="I186" s="152"/>
      <c r="J186" s="81"/>
    </row>
    <row r="187" spans="1:10" x14ac:dyDescent="0.25">
      <c r="A187" s="84">
        <v>46268</v>
      </c>
      <c r="B187" s="17" t="s">
        <v>283</v>
      </c>
      <c r="C187" s="17"/>
      <c r="D187" s="17" t="s">
        <v>419</v>
      </c>
      <c r="E187" s="17"/>
      <c r="F187" s="17">
        <v>1</v>
      </c>
      <c r="G187" s="76">
        <v>3000</v>
      </c>
      <c r="H187" s="19">
        <f t="shared" ref="H187:H199" si="10">F187*G187</f>
        <v>3000</v>
      </c>
      <c r="I187" s="152"/>
      <c r="J187" s="81"/>
    </row>
    <row r="188" spans="1:10" x14ac:dyDescent="0.25">
      <c r="A188" s="84">
        <v>46268</v>
      </c>
      <c r="B188" s="17" t="s">
        <v>382</v>
      </c>
      <c r="C188" s="17"/>
      <c r="D188" s="17" t="s">
        <v>145</v>
      </c>
      <c r="E188" s="17"/>
      <c r="F188" s="17">
        <v>1</v>
      </c>
      <c r="G188" s="76">
        <v>8000</v>
      </c>
      <c r="H188" s="19">
        <f t="shared" si="10"/>
        <v>8000</v>
      </c>
      <c r="I188" s="152"/>
      <c r="J188" s="81"/>
    </row>
    <row r="189" spans="1:10" x14ac:dyDescent="0.25">
      <c r="A189" s="84">
        <v>46268</v>
      </c>
      <c r="B189" s="17" t="s">
        <v>382</v>
      </c>
      <c r="C189" s="17"/>
      <c r="D189" s="17" t="s">
        <v>403</v>
      </c>
      <c r="E189" s="17"/>
      <c r="F189" s="17">
        <v>1</v>
      </c>
      <c r="G189" s="76">
        <v>10000</v>
      </c>
      <c r="H189" s="19">
        <f t="shared" si="10"/>
        <v>10000</v>
      </c>
      <c r="I189" s="153"/>
      <c r="J189" s="81"/>
    </row>
    <row r="190" spans="1:10" x14ac:dyDescent="0.25">
      <c r="A190" s="84">
        <v>46269</v>
      </c>
      <c r="B190" s="17" t="s">
        <v>429</v>
      </c>
      <c r="C190" s="17"/>
      <c r="D190" s="17" t="s">
        <v>171</v>
      </c>
      <c r="E190" s="17"/>
      <c r="F190" s="17">
        <v>5</v>
      </c>
      <c r="G190" s="76">
        <v>6000</v>
      </c>
      <c r="H190" s="19">
        <f t="shared" si="10"/>
        <v>30000</v>
      </c>
      <c r="I190" s="140">
        <f>SUM(H190:H212)</f>
        <v>291100</v>
      </c>
      <c r="J190" s="81"/>
    </row>
    <row r="191" spans="1:10" x14ac:dyDescent="0.25">
      <c r="A191" s="84">
        <v>46269</v>
      </c>
      <c r="B191" s="17" t="s">
        <v>431</v>
      </c>
      <c r="C191" s="17"/>
      <c r="D191" s="17" t="s">
        <v>446</v>
      </c>
      <c r="E191" s="17"/>
      <c r="F191" s="17">
        <v>1</v>
      </c>
      <c r="G191" s="76">
        <v>9000</v>
      </c>
      <c r="H191" s="19">
        <f t="shared" si="10"/>
        <v>9000</v>
      </c>
      <c r="I191" s="141"/>
      <c r="J191" s="81"/>
    </row>
    <row r="192" spans="1:10" x14ac:dyDescent="0.25">
      <c r="A192" s="84">
        <v>46269</v>
      </c>
      <c r="B192" s="17" t="s">
        <v>431</v>
      </c>
      <c r="C192" s="17"/>
      <c r="D192" s="17" t="s">
        <v>432</v>
      </c>
      <c r="E192" s="17"/>
      <c r="F192" s="17">
        <v>1</v>
      </c>
      <c r="G192" s="76">
        <v>2800</v>
      </c>
      <c r="H192" s="19">
        <f t="shared" si="10"/>
        <v>2800</v>
      </c>
      <c r="I192" s="141"/>
      <c r="J192" s="81"/>
    </row>
    <row r="193" spans="1:10" x14ac:dyDescent="0.25">
      <c r="A193" s="84">
        <v>46269</v>
      </c>
      <c r="B193" s="17" t="s">
        <v>431</v>
      </c>
      <c r="C193" s="17"/>
      <c r="D193" s="17" t="s">
        <v>297</v>
      </c>
      <c r="E193" s="17"/>
      <c r="F193" s="17">
        <v>1</v>
      </c>
      <c r="G193" s="76">
        <v>9000</v>
      </c>
      <c r="H193" s="19">
        <f t="shared" si="10"/>
        <v>9000</v>
      </c>
      <c r="I193" s="141"/>
      <c r="J193" s="81"/>
    </row>
    <row r="194" spans="1:10" x14ac:dyDescent="0.25">
      <c r="A194" s="84">
        <v>46269</v>
      </c>
      <c r="B194" s="17" t="s">
        <v>433</v>
      </c>
      <c r="C194" s="17"/>
      <c r="D194" s="17" t="s">
        <v>434</v>
      </c>
      <c r="E194" s="17"/>
      <c r="F194" s="17">
        <v>1</v>
      </c>
      <c r="G194" s="76">
        <v>12000</v>
      </c>
      <c r="H194" s="19">
        <f t="shared" si="10"/>
        <v>12000</v>
      </c>
      <c r="I194" s="141"/>
      <c r="J194" s="81"/>
    </row>
    <row r="195" spans="1:10" x14ac:dyDescent="0.25">
      <c r="A195" s="84">
        <v>46269</v>
      </c>
      <c r="B195" s="17" t="s">
        <v>433</v>
      </c>
      <c r="C195" s="17"/>
      <c r="D195" s="17" t="s">
        <v>435</v>
      </c>
      <c r="E195" s="17"/>
      <c r="F195" s="17">
        <v>1</v>
      </c>
      <c r="G195" s="76">
        <v>9000</v>
      </c>
      <c r="H195" s="19">
        <f t="shared" si="10"/>
        <v>9000</v>
      </c>
      <c r="I195" s="141"/>
      <c r="J195" s="81"/>
    </row>
    <row r="196" spans="1:10" x14ac:dyDescent="0.25">
      <c r="A196" s="84">
        <v>46269</v>
      </c>
      <c r="B196" s="17" t="s">
        <v>436</v>
      </c>
      <c r="C196" s="17"/>
      <c r="D196" s="17" t="s">
        <v>332</v>
      </c>
      <c r="E196" s="17"/>
      <c r="F196" s="17">
        <v>4</v>
      </c>
      <c r="G196" s="76">
        <v>8000</v>
      </c>
      <c r="H196" s="19">
        <f t="shared" si="10"/>
        <v>32000</v>
      </c>
      <c r="I196" s="141"/>
      <c r="J196" s="81"/>
    </row>
    <row r="197" spans="1:10" x14ac:dyDescent="0.25">
      <c r="A197" s="84">
        <v>46269</v>
      </c>
      <c r="B197" s="17" t="s">
        <v>436</v>
      </c>
      <c r="C197" s="17"/>
      <c r="D197" s="17" t="s">
        <v>299</v>
      </c>
      <c r="E197" s="17"/>
      <c r="F197" s="17">
        <v>2</v>
      </c>
      <c r="G197" s="76">
        <v>8000</v>
      </c>
      <c r="H197" s="19">
        <f t="shared" si="10"/>
        <v>16000</v>
      </c>
      <c r="I197" s="141"/>
      <c r="J197" s="81"/>
    </row>
    <row r="198" spans="1:10" x14ac:dyDescent="0.25">
      <c r="A198" s="84">
        <v>46269</v>
      </c>
      <c r="B198" s="17" t="s">
        <v>436</v>
      </c>
      <c r="C198" s="17"/>
      <c r="D198" s="17" t="s">
        <v>423</v>
      </c>
      <c r="E198" s="17"/>
      <c r="F198" s="17">
        <v>2</v>
      </c>
      <c r="G198" s="76">
        <v>8000</v>
      </c>
      <c r="H198" s="19">
        <f t="shared" si="10"/>
        <v>16000</v>
      </c>
      <c r="I198" s="141"/>
      <c r="J198" s="81"/>
    </row>
    <row r="199" spans="1:10" x14ac:dyDescent="0.25">
      <c r="A199" s="84">
        <v>46269</v>
      </c>
      <c r="B199" s="17" t="s">
        <v>437</v>
      </c>
      <c r="C199" s="17"/>
      <c r="D199" s="17" t="s">
        <v>438</v>
      </c>
      <c r="E199" s="17"/>
      <c r="F199" s="17">
        <v>1</v>
      </c>
      <c r="G199" s="76">
        <v>7000</v>
      </c>
      <c r="H199" s="19">
        <f t="shared" si="10"/>
        <v>7000</v>
      </c>
      <c r="I199" s="141"/>
      <c r="J199" s="81"/>
    </row>
    <row r="200" spans="1:10" x14ac:dyDescent="0.25">
      <c r="A200" s="84">
        <v>46269</v>
      </c>
      <c r="B200" s="17" t="s">
        <v>437</v>
      </c>
      <c r="C200" s="17"/>
      <c r="D200" s="17" t="s">
        <v>439</v>
      </c>
      <c r="E200" s="17"/>
      <c r="F200" s="17">
        <v>1</v>
      </c>
      <c r="G200" s="76">
        <v>6000</v>
      </c>
      <c r="H200" s="19">
        <f t="shared" ref="H200:H205" si="11">F200*G200</f>
        <v>6000</v>
      </c>
      <c r="I200" s="141"/>
      <c r="J200" s="81"/>
    </row>
    <row r="201" spans="1:10" x14ac:dyDescent="0.25">
      <c r="A201" s="84">
        <v>46269</v>
      </c>
      <c r="B201" s="17" t="s">
        <v>437</v>
      </c>
      <c r="C201" s="17"/>
      <c r="D201" s="17" t="s">
        <v>440</v>
      </c>
      <c r="E201" s="17"/>
      <c r="F201" s="17">
        <v>1</v>
      </c>
      <c r="G201" s="76">
        <v>7000</v>
      </c>
      <c r="H201" s="19">
        <f t="shared" si="11"/>
        <v>7000</v>
      </c>
      <c r="I201" s="141"/>
      <c r="J201" s="81"/>
    </row>
    <row r="202" spans="1:10" x14ac:dyDescent="0.25">
      <c r="A202" s="84">
        <v>46269</v>
      </c>
      <c r="B202" s="17" t="s">
        <v>444</v>
      </c>
      <c r="C202" s="17"/>
      <c r="D202" s="17" t="s">
        <v>445</v>
      </c>
      <c r="E202" s="17"/>
      <c r="F202" s="17">
        <v>1</v>
      </c>
      <c r="G202" s="76">
        <v>7000</v>
      </c>
      <c r="H202" s="19">
        <f t="shared" si="11"/>
        <v>7000</v>
      </c>
      <c r="I202" s="141"/>
      <c r="J202" s="81"/>
    </row>
    <row r="203" spans="1:10" x14ac:dyDescent="0.25">
      <c r="A203" s="84">
        <v>46269</v>
      </c>
      <c r="B203" s="17" t="s">
        <v>382</v>
      </c>
      <c r="C203" s="17"/>
      <c r="D203" s="17" t="s">
        <v>408</v>
      </c>
      <c r="E203" s="17"/>
      <c r="F203" s="17">
        <v>1</v>
      </c>
      <c r="G203" s="76">
        <v>4800</v>
      </c>
      <c r="H203" s="19">
        <f t="shared" si="11"/>
        <v>4800</v>
      </c>
      <c r="I203" s="141"/>
      <c r="J203" s="81"/>
    </row>
    <row r="204" spans="1:10" x14ac:dyDescent="0.25">
      <c r="A204" s="84">
        <v>46269</v>
      </c>
      <c r="B204" s="17" t="s">
        <v>260</v>
      </c>
      <c r="C204" s="17"/>
      <c r="D204" s="17" t="s">
        <v>277</v>
      </c>
      <c r="E204" s="17"/>
      <c r="F204" s="17">
        <v>1</v>
      </c>
      <c r="G204" s="76">
        <v>1500</v>
      </c>
      <c r="H204" s="19">
        <f t="shared" si="11"/>
        <v>1500</v>
      </c>
      <c r="I204" s="141"/>
      <c r="J204" s="81"/>
    </row>
    <row r="205" spans="1:10" x14ac:dyDescent="0.25">
      <c r="A205" s="84">
        <v>46269</v>
      </c>
      <c r="B205" s="17" t="s">
        <v>260</v>
      </c>
      <c r="C205" s="17"/>
      <c r="D205" s="17" t="s">
        <v>303</v>
      </c>
      <c r="E205" s="17"/>
      <c r="F205" s="17">
        <v>1</v>
      </c>
      <c r="G205" s="76">
        <v>10000</v>
      </c>
      <c r="H205" s="19">
        <f t="shared" si="11"/>
        <v>10000</v>
      </c>
      <c r="I205" s="141"/>
      <c r="J205" s="81"/>
    </row>
    <row r="206" spans="1:10" x14ac:dyDescent="0.25">
      <c r="A206" s="84">
        <v>46269</v>
      </c>
      <c r="B206" s="17" t="s">
        <v>448</v>
      </c>
      <c r="C206" s="17"/>
      <c r="D206" s="17" t="s">
        <v>325</v>
      </c>
      <c r="E206" s="17"/>
      <c r="F206" s="17">
        <v>3</v>
      </c>
      <c r="G206" s="76">
        <v>8000</v>
      </c>
      <c r="H206" s="19">
        <f t="shared" ref="H206:H212" si="12">F206*G206</f>
        <v>24000</v>
      </c>
      <c r="I206" s="141"/>
      <c r="J206" s="81"/>
    </row>
    <row r="207" spans="1:10" x14ac:dyDescent="0.25">
      <c r="A207" s="84">
        <v>46269</v>
      </c>
      <c r="B207" s="17" t="s">
        <v>415</v>
      </c>
      <c r="C207" s="17"/>
      <c r="D207" s="17" t="s">
        <v>449</v>
      </c>
      <c r="E207" s="17"/>
      <c r="F207" s="17">
        <v>1</v>
      </c>
      <c r="G207" s="76">
        <v>32000</v>
      </c>
      <c r="H207" s="19">
        <f t="shared" si="12"/>
        <v>32000</v>
      </c>
      <c r="I207" s="141"/>
      <c r="J207" s="81"/>
    </row>
    <row r="208" spans="1:10" x14ac:dyDescent="0.25">
      <c r="A208" s="84">
        <v>46269</v>
      </c>
      <c r="B208" s="17" t="s">
        <v>415</v>
      </c>
      <c r="C208" s="17"/>
      <c r="D208" s="17" t="s">
        <v>139</v>
      </c>
      <c r="E208" s="17"/>
      <c r="F208" s="17">
        <v>1</v>
      </c>
      <c r="G208" s="76">
        <v>18000</v>
      </c>
      <c r="H208" s="19">
        <f t="shared" si="12"/>
        <v>18000</v>
      </c>
      <c r="I208" s="141"/>
      <c r="J208" s="81"/>
    </row>
    <row r="209" spans="1:10" x14ac:dyDescent="0.25">
      <c r="A209" s="84">
        <v>46269</v>
      </c>
      <c r="B209" s="17" t="s">
        <v>415</v>
      </c>
      <c r="C209" s="17"/>
      <c r="D209" s="17" t="s">
        <v>423</v>
      </c>
      <c r="E209" s="17"/>
      <c r="F209" s="17">
        <v>2</v>
      </c>
      <c r="G209" s="76">
        <v>8000</v>
      </c>
      <c r="H209" s="19">
        <f t="shared" si="12"/>
        <v>16000</v>
      </c>
      <c r="I209" s="141"/>
      <c r="J209" s="81"/>
    </row>
    <row r="210" spans="1:10" x14ac:dyDescent="0.25">
      <c r="A210" s="84">
        <v>46269</v>
      </c>
      <c r="B210" s="17" t="s">
        <v>450</v>
      </c>
      <c r="C210" s="17"/>
      <c r="D210" s="17" t="s">
        <v>427</v>
      </c>
      <c r="E210" s="17"/>
      <c r="F210" s="17">
        <v>1</v>
      </c>
      <c r="G210" s="76">
        <v>10000</v>
      </c>
      <c r="H210" s="19">
        <f t="shared" si="12"/>
        <v>10000</v>
      </c>
      <c r="I210" s="141"/>
      <c r="J210" s="81"/>
    </row>
    <row r="211" spans="1:10" x14ac:dyDescent="0.25">
      <c r="A211" s="84">
        <v>46269</v>
      </c>
      <c r="B211" s="17" t="s">
        <v>450</v>
      </c>
      <c r="C211" s="17"/>
      <c r="D211" s="17" t="s">
        <v>211</v>
      </c>
      <c r="E211" s="17"/>
      <c r="F211" s="17">
        <v>1</v>
      </c>
      <c r="G211" s="76">
        <v>9000</v>
      </c>
      <c r="H211" s="19">
        <f t="shared" si="12"/>
        <v>9000</v>
      </c>
      <c r="I211" s="141"/>
      <c r="J211" s="81"/>
    </row>
    <row r="212" spans="1:10" x14ac:dyDescent="0.25">
      <c r="A212" s="84">
        <v>46269</v>
      </c>
      <c r="B212" s="17" t="s">
        <v>450</v>
      </c>
      <c r="C212" s="17"/>
      <c r="D212" s="17" t="s">
        <v>452</v>
      </c>
      <c r="E212" s="17"/>
      <c r="F212" s="17">
        <v>1</v>
      </c>
      <c r="G212" s="76">
        <v>3000</v>
      </c>
      <c r="H212" s="19">
        <f t="shared" si="12"/>
        <v>3000</v>
      </c>
      <c r="I212" s="142"/>
      <c r="J212" s="81"/>
    </row>
    <row r="213" spans="1:10" x14ac:dyDescent="0.25">
      <c r="A213" s="84">
        <v>46270</v>
      </c>
      <c r="B213" s="17" t="s">
        <v>453</v>
      </c>
      <c r="C213" s="17"/>
      <c r="D213" s="17" t="s">
        <v>389</v>
      </c>
      <c r="E213" s="17"/>
      <c r="F213" s="17">
        <v>1</v>
      </c>
      <c r="G213" s="76">
        <v>9000</v>
      </c>
      <c r="H213" s="19">
        <f>F213*G213</f>
        <v>9000</v>
      </c>
      <c r="I213" s="140">
        <f>SUM(H213:H240)</f>
        <v>262000</v>
      </c>
      <c r="J213" s="81"/>
    </row>
    <row r="214" spans="1:10" x14ac:dyDescent="0.25">
      <c r="A214" s="84">
        <v>46270</v>
      </c>
      <c r="B214" s="17" t="s">
        <v>453</v>
      </c>
      <c r="C214" s="17"/>
      <c r="D214" s="17" t="s">
        <v>362</v>
      </c>
      <c r="E214" s="17"/>
      <c r="F214" s="17">
        <v>5</v>
      </c>
      <c r="G214" s="76">
        <v>2500</v>
      </c>
      <c r="H214" s="19">
        <f>F214*G214</f>
        <v>12500</v>
      </c>
      <c r="I214" s="141"/>
      <c r="J214" s="81"/>
    </row>
    <row r="215" spans="1:10" x14ac:dyDescent="0.25">
      <c r="A215" s="84">
        <v>46270</v>
      </c>
      <c r="B215" s="17" t="s">
        <v>454</v>
      </c>
      <c r="C215" s="17"/>
      <c r="D215" s="17" t="s">
        <v>455</v>
      </c>
      <c r="E215" s="17"/>
      <c r="F215" s="17">
        <v>1</v>
      </c>
      <c r="G215" s="76">
        <v>8000</v>
      </c>
      <c r="H215" s="19">
        <f t="shared" ref="H215:H241" si="13">F215*G215</f>
        <v>8000</v>
      </c>
      <c r="I215" s="141"/>
      <c r="J215" s="81"/>
    </row>
    <row r="216" spans="1:10" x14ac:dyDescent="0.25">
      <c r="A216" s="84">
        <v>46270</v>
      </c>
      <c r="B216" s="17" t="s">
        <v>454</v>
      </c>
      <c r="C216" s="17"/>
      <c r="D216" s="17" t="s">
        <v>311</v>
      </c>
      <c r="E216" s="17"/>
      <c r="F216" s="17">
        <v>1</v>
      </c>
      <c r="G216" s="76">
        <v>6000</v>
      </c>
      <c r="H216" s="19">
        <f t="shared" si="13"/>
        <v>6000</v>
      </c>
      <c r="I216" s="141"/>
      <c r="J216" s="81"/>
    </row>
    <row r="217" spans="1:10" x14ac:dyDescent="0.25">
      <c r="A217" s="84">
        <v>46270</v>
      </c>
      <c r="B217" s="17" t="s">
        <v>456</v>
      </c>
      <c r="C217" s="17"/>
      <c r="D217" s="17" t="s">
        <v>250</v>
      </c>
      <c r="E217" s="17"/>
      <c r="F217" s="17">
        <v>1</v>
      </c>
      <c r="G217" s="76">
        <v>3500</v>
      </c>
      <c r="H217" s="19">
        <f t="shared" si="13"/>
        <v>3500</v>
      </c>
      <c r="I217" s="141"/>
      <c r="J217" s="81"/>
    </row>
    <row r="218" spans="1:10" x14ac:dyDescent="0.25">
      <c r="A218" s="84">
        <v>46270</v>
      </c>
      <c r="B218" s="17" t="s">
        <v>457</v>
      </c>
      <c r="C218" s="17"/>
      <c r="D218" s="17" t="s">
        <v>277</v>
      </c>
      <c r="E218" s="17"/>
      <c r="F218" s="17">
        <v>3</v>
      </c>
      <c r="G218" s="76">
        <v>1500</v>
      </c>
      <c r="H218" s="19">
        <f t="shared" si="13"/>
        <v>4500</v>
      </c>
      <c r="I218" s="141"/>
      <c r="J218" s="81"/>
    </row>
    <row r="219" spans="1:10" x14ac:dyDescent="0.25">
      <c r="A219" s="84">
        <v>46270</v>
      </c>
      <c r="B219" s="17" t="s">
        <v>458</v>
      </c>
      <c r="C219" s="17"/>
      <c r="D219" s="17" t="s">
        <v>366</v>
      </c>
      <c r="E219" s="17"/>
      <c r="F219" s="17">
        <v>1</v>
      </c>
      <c r="G219" s="76">
        <v>4000</v>
      </c>
      <c r="H219" s="19">
        <f t="shared" si="13"/>
        <v>4000</v>
      </c>
      <c r="I219" s="141"/>
      <c r="J219" s="81"/>
    </row>
    <row r="220" spans="1:10" x14ac:dyDescent="0.25">
      <c r="A220" s="84">
        <v>46270</v>
      </c>
      <c r="B220" s="17" t="s">
        <v>459</v>
      </c>
      <c r="C220" s="17"/>
      <c r="D220" s="17" t="s">
        <v>250</v>
      </c>
      <c r="E220" s="17"/>
      <c r="F220" s="17">
        <v>1</v>
      </c>
      <c r="G220" s="76">
        <v>3000</v>
      </c>
      <c r="H220" s="19">
        <f t="shared" si="13"/>
        <v>3000</v>
      </c>
      <c r="I220" s="141"/>
      <c r="J220" s="81"/>
    </row>
    <row r="221" spans="1:10" x14ac:dyDescent="0.25">
      <c r="A221" s="84">
        <v>46270</v>
      </c>
      <c r="B221" s="17" t="s">
        <v>459</v>
      </c>
      <c r="C221" s="17"/>
      <c r="D221" s="17" t="s">
        <v>277</v>
      </c>
      <c r="E221" s="17"/>
      <c r="F221" s="17">
        <v>1</v>
      </c>
      <c r="G221" s="76">
        <v>1500</v>
      </c>
      <c r="H221" s="19">
        <f t="shared" si="13"/>
        <v>1500</v>
      </c>
      <c r="I221" s="141"/>
      <c r="J221" s="81"/>
    </row>
    <row r="222" spans="1:10" x14ac:dyDescent="0.25">
      <c r="A222" s="84">
        <v>46270</v>
      </c>
      <c r="B222" s="17" t="s">
        <v>459</v>
      </c>
      <c r="C222" s="17"/>
      <c r="D222" s="17" t="s">
        <v>320</v>
      </c>
      <c r="E222" s="17"/>
      <c r="F222" s="17">
        <v>1</v>
      </c>
      <c r="G222" s="76">
        <v>5500</v>
      </c>
      <c r="H222" s="19">
        <f t="shared" si="13"/>
        <v>5500</v>
      </c>
      <c r="I222" s="141"/>
      <c r="J222" s="81"/>
    </row>
    <row r="223" spans="1:10" x14ac:dyDescent="0.25">
      <c r="A223" s="84">
        <v>46270</v>
      </c>
      <c r="B223" s="17" t="s">
        <v>460</v>
      </c>
      <c r="C223" s="17"/>
      <c r="D223" s="17" t="s">
        <v>364</v>
      </c>
      <c r="E223" s="17"/>
      <c r="F223" s="17">
        <v>1</v>
      </c>
      <c r="G223" s="76">
        <v>10000</v>
      </c>
      <c r="H223" s="19">
        <f t="shared" si="13"/>
        <v>10000</v>
      </c>
      <c r="I223" s="141"/>
      <c r="J223" s="81"/>
    </row>
    <row r="224" spans="1:10" x14ac:dyDescent="0.25">
      <c r="A224" s="84">
        <v>46270</v>
      </c>
      <c r="B224" s="17" t="s">
        <v>460</v>
      </c>
      <c r="C224" s="17"/>
      <c r="D224" s="17" t="s">
        <v>400</v>
      </c>
      <c r="E224" s="17"/>
      <c r="F224" s="17">
        <v>1</v>
      </c>
      <c r="G224" s="76">
        <v>12000</v>
      </c>
      <c r="H224" s="19">
        <f t="shared" si="13"/>
        <v>12000</v>
      </c>
      <c r="I224" s="141"/>
      <c r="J224" s="81"/>
    </row>
    <row r="225" spans="1:10" x14ac:dyDescent="0.25">
      <c r="A225" s="84">
        <v>46270</v>
      </c>
      <c r="B225" s="17" t="s">
        <v>398</v>
      </c>
      <c r="C225" s="17"/>
      <c r="D225" s="17" t="s">
        <v>385</v>
      </c>
      <c r="E225" s="17"/>
      <c r="F225" s="17">
        <v>2</v>
      </c>
      <c r="G225" s="76">
        <v>7500</v>
      </c>
      <c r="H225" s="19">
        <f t="shared" si="13"/>
        <v>15000</v>
      </c>
      <c r="I225" s="141"/>
      <c r="J225" s="81"/>
    </row>
    <row r="226" spans="1:10" x14ac:dyDescent="0.25">
      <c r="A226" s="84">
        <v>46270</v>
      </c>
      <c r="B226" s="17" t="s">
        <v>382</v>
      </c>
      <c r="C226" s="17"/>
      <c r="D226" s="17" t="s">
        <v>171</v>
      </c>
      <c r="E226" s="17"/>
      <c r="F226" s="17">
        <v>2</v>
      </c>
      <c r="G226" s="76">
        <v>6000</v>
      </c>
      <c r="H226" s="19">
        <f t="shared" si="13"/>
        <v>12000</v>
      </c>
      <c r="I226" s="141"/>
      <c r="J226" s="81"/>
    </row>
    <row r="227" spans="1:10" x14ac:dyDescent="0.25">
      <c r="A227" s="84">
        <v>46270</v>
      </c>
      <c r="B227" s="17" t="s">
        <v>382</v>
      </c>
      <c r="C227" s="17"/>
      <c r="D227" s="17" t="s">
        <v>461</v>
      </c>
      <c r="E227" s="17"/>
      <c r="F227" s="17">
        <v>3</v>
      </c>
      <c r="G227" s="76">
        <v>6000</v>
      </c>
      <c r="H227" s="19">
        <f t="shared" si="13"/>
        <v>18000</v>
      </c>
      <c r="I227" s="141"/>
      <c r="J227" s="81"/>
    </row>
    <row r="228" spans="1:10" x14ac:dyDescent="0.25">
      <c r="A228" s="84">
        <v>46270</v>
      </c>
      <c r="B228" s="17" t="s">
        <v>382</v>
      </c>
      <c r="C228" s="17"/>
      <c r="D228" s="17" t="s">
        <v>263</v>
      </c>
      <c r="E228" s="17"/>
      <c r="F228" s="17">
        <v>1</v>
      </c>
      <c r="G228" s="76">
        <v>20000</v>
      </c>
      <c r="H228" s="19">
        <f t="shared" si="13"/>
        <v>20000</v>
      </c>
      <c r="I228" s="141"/>
      <c r="J228" s="81"/>
    </row>
    <row r="229" spans="1:10" x14ac:dyDescent="0.25">
      <c r="A229" s="84">
        <v>46270</v>
      </c>
      <c r="B229" s="17" t="s">
        <v>382</v>
      </c>
      <c r="C229" s="17"/>
      <c r="D229" s="17" t="s">
        <v>424</v>
      </c>
      <c r="E229" s="17"/>
      <c r="F229" s="17">
        <v>1</v>
      </c>
      <c r="G229" s="76">
        <v>3000</v>
      </c>
      <c r="H229" s="19">
        <f t="shared" si="13"/>
        <v>3000</v>
      </c>
      <c r="I229" s="141"/>
      <c r="J229" s="81"/>
    </row>
    <row r="230" spans="1:10" x14ac:dyDescent="0.25">
      <c r="A230" s="84">
        <v>46270</v>
      </c>
      <c r="B230" s="17" t="s">
        <v>382</v>
      </c>
      <c r="C230" s="17"/>
      <c r="D230" s="17" t="s">
        <v>397</v>
      </c>
      <c r="E230" s="17"/>
      <c r="F230" s="17">
        <v>1</v>
      </c>
      <c r="G230" s="76">
        <v>7500</v>
      </c>
      <c r="H230" s="19">
        <f t="shared" si="13"/>
        <v>7500</v>
      </c>
      <c r="I230" s="141"/>
      <c r="J230" s="81"/>
    </row>
    <row r="231" spans="1:10" x14ac:dyDescent="0.25">
      <c r="A231" s="84">
        <v>46270</v>
      </c>
      <c r="B231" s="17" t="s">
        <v>382</v>
      </c>
      <c r="C231" s="17"/>
      <c r="D231" s="17" t="s">
        <v>417</v>
      </c>
      <c r="E231" s="17"/>
      <c r="F231" s="17">
        <v>1</v>
      </c>
      <c r="G231" s="76">
        <v>7500</v>
      </c>
      <c r="H231" s="19">
        <f t="shared" si="13"/>
        <v>7500</v>
      </c>
      <c r="I231" s="141"/>
      <c r="J231" s="81"/>
    </row>
    <row r="232" spans="1:10" x14ac:dyDescent="0.25">
      <c r="A232" s="84">
        <v>46270</v>
      </c>
      <c r="B232" s="17" t="s">
        <v>463</v>
      </c>
      <c r="C232" s="17"/>
      <c r="D232" s="17" t="s">
        <v>464</v>
      </c>
      <c r="E232" s="17"/>
      <c r="F232" s="17">
        <v>2</v>
      </c>
      <c r="G232" s="76">
        <v>2500</v>
      </c>
      <c r="H232" s="19">
        <f t="shared" si="13"/>
        <v>5000</v>
      </c>
      <c r="I232" s="141"/>
      <c r="J232" s="81"/>
    </row>
    <row r="233" spans="1:10" x14ac:dyDescent="0.25">
      <c r="A233" s="84">
        <v>46270</v>
      </c>
      <c r="B233" s="17" t="s">
        <v>463</v>
      </c>
      <c r="C233" s="17"/>
      <c r="D233" s="17" t="s">
        <v>392</v>
      </c>
      <c r="E233" s="17"/>
      <c r="F233" s="17">
        <v>2</v>
      </c>
      <c r="G233" s="76">
        <v>3500</v>
      </c>
      <c r="H233" s="19">
        <f t="shared" si="13"/>
        <v>7000</v>
      </c>
      <c r="I233" s="141"/>
      <c r="J233" s="81"/>
    </row>
    <row r="234" spans="1:10" x14ac:dyDescent="0.25">
      <c r="A234" s="84">
        <v>46270</v>
      </c>
      <c r="B234" s="17" t="s">
        <v>463</v>
      </c>
      <c r="C234" s="17"/>
      <c r="D234" s="17" t="s">
        <v>366</v>
      </c>
      <c r="E234" s="17"/>
      <c r="F234" s="17">
        <v>2</v>
      </c>
      <c r="G234" s="76">
        <v>4000</v>
      </c>
      <c r="H234" s="19">
        <f t="shared" si="13"/>
        <v>8000</v>
      </c>
      <c r="I234" s="141"/>
      <c r="J234" s="81"/>
    </row>
    <row r="235" spans="1:10" x14ac:dyDescent="0.25">
      <c r="A235" s="84">
        <v>46270</v>
      </c>
      <c r="B235" s="17" t="s">
        <v>463</v>
      </c>
      <c r="C235" s="17"/>
      <c r="D235" s="17" t="s">
        <v>277</v>
      </c>
      <c r="E235" s="17"/>
      <c r="F235" s="17">
        <v>3</v>
      </c>
      <c r="G235" s="76">
        <v>1500</v>
      </c>
      <c r="H235" s="19">
        <f t="shared" si="13"/>
        <v>4500</v>
      </c>
      <c r="I235" s="141"/>
      <c r="J235" s="81"/>
    </row>
    <row r="236" spans="1:10" x14ac:dyDescent="0.25">
      <c r="A236" s="84">
        <v>46270</v>
      </c>
      <c r="B236" s="17" t="s">
        <v>465</v>
      </c>
      <c r="C236" s="17"/>
      <c r="D236" s="17" t="s">
        <v>303</v>
      </c>
      <c r="E236" s="17"/>
      <c r="F236" s="17">
        <v>1</v>
      </c>
      <c r="G236" s="76">
        <v>10000</v>
      </c>
      <c r="H236" s="19">
        <f t="shared" si="13"/>
        <v>10000</v>
      </c>
      <c r="I236" s="141"/>
      <c r="J236" s="81"/>
    </row>
    <row r="237" spans="1:10" x14ac:dyDescent="0.25">
      <c r="A237" s="84">
        <v>46270</v>
      </c>
      <c r="B237" s="17" t="s">
        <v>465</v>
      </c>
      <c r="C237" s="17"/>
      <c r="D237" s="17" t="s">
        <v>406</v>
      </c>
      <c r="E237" s="17"/>
      <c r="F237" s="17">
        <v>1</v>
      </c>
      <c r="G237" s="76">
        <v>15000</v>
      </c>
      <c r="H237" s="19">
        <f t="shared" si="13"/>
        <v>15000</v>
      </c>
      <c r="I237" s="141"/>
      <c r="J237" s="81"/>
    </row>
    <row r="238" spans="1:10" x14ac:dyDescent="0.25">
      <c r="A238" s="84">
        <v>46270</v>
      </c>
      <c r="B238" s="17" t="s">
        <v>465</v>
      </c>
      <c r="C238" s="17"/>
      <c r="D238" s="17" t="s">
        <v>44</v>
      </c>
      <c r="E238" s="17"/>
      <c r="F238" s="17">
        <v>1</v>
      </c>
      <c r="G238" s="76">
        <v>12000</v>
      </c>
      <c r="H238" s="19">
        <f t="shared" si="13"/>
        <v>12000</v>
      </c>
      <c r="I238" s="141"/>
      <c r="J238" s="81"/>
    </row>
    <row r="239" spans="1:10" s="99" customFormat="1" ht="15.75" thickBot="1" x14ac:dyDescent="0.3">
      <c r="A239" s="94">
        <v>46270</v>
      </c>
      <c r="B239" s="95" t="s">
        <v>465</v>
      </c>
      <c r="C239" s="95"/>
      <c r="D239" s="95" t="s">
        <v>466</v>
      </c>
      <c r="E239" s="95"/>
      <c r="F239" s="95">
        <v>1</v>
      </c>
      <c r="G239" s="96">
        <v>30000</v>
      </c>
      <c r="H239" s="97">
        <f t="shared" si="13"/>
        <v>30000</v>
      </c>
      <c r="I239" s="142"/>
      <c r="J239" s="98"/>
    </row>
    <row r="240" spans="1:10" ht="17.25" customHeight="1" x14ac:dyDescent="0.25">
      <c r="A240" s="84">
        <v>46271</v>
      </c>
      <c r="B240" s="85" t="s">
        <v>467</v>
      </c>
      <c r="C240" s="85"/>
      <c r="D240" s="85" t="s">
        <v>311</v>
      </c>
      <c r="E240" s="85"/>
      <c r="F240" s="85">
        <v>1</v>
      </c>
      <c r="G240" s="86">
        <v>8000</v>
      </c>
      <c r="H240" s="87">
        <f t="shared" si="13"/>
        <v>8000</v>
      </c>
      <c r="I240" s="143">
        <f>SUM(H240:H269)</f>
        <v>291500</v>
      </c>
      <c r="J240" s="81"/>
    </row>
    <row r="241" spans="1:10" x14ac:dyDescent="0.25">
      <c r="A241" s="84">
        <v>46271</v>
      </c>
      <c r="B241" s="17" t="s">
        <v>467</v>
      </c>
      <c r="C241" s="17"/>
      <c r="D241" s="17" t="s">
        <v>250</v>
      </c>
      <c r="E241" s="17"/>
      <c r="F241" s="17">
        <v>5</v>
      </c>
      <c r="G241" s="76">
        <v>3000</v>
      </c>
      <c r="H241" s="19">
        <f t="shared" si="13"/>
        <v>15000</v>
      </c>
      <c r="I241" s="144"/>
      <c r="J241" s="81"/>
    </row>
    <row r="242" spans="1:10" x14ac:dyDescent="0.25">
      <c r="A242" s="84">
        <v>46271</v>
      </c>
      <c r="B242" s="17" t="s">
        <v>468</v>
      </c>
      <c r="C242" s="17"/>
      <c r="D242" s="17" t="s">
        <v>480</v>
      </c>
      <c r="E242" s="17"/>
      <c r="F242" s="17">
        <v>1</v>
      </c>
      <c r="G242" s="76">
        <v>10000</v>
      </c>
      <c r="H242" s="19">
        <f t="shared" ref="H242:H251" si="14">F242*G242</f>
        <v>10000</v>
      </c>
      <c r="I242" s="144"/>
      <c r="J242" s="81"/>
    </row>
    <row r="243" spans="1:10" x14ac:dyDescent="0.25">
      <c r="A243" s="84">
        <v>46271</v>
      </c>
      <c r="B243" s="17" t="s">
        <v>469</v>
      </c>
      <c r="C243" s="17"/>
      <c r="D243" s="17" t="s">
        <v>105</v>
      </c>
      <c r="E243" s="17"/>
      <c r="F243" s="17">
        <v>1</v>
      </c>
      <c r="G243" s="76">
        <v>4000</v>
      </c>
      <c r="H243" s="19">
        <f t="shared" si="14"/>
        <v>4000</v>
      </c>
      <c r="I243" s="144"/>
      <c r="J243" s="81"/>
    </row>
    <row r="244" spans="1:10" x14ac:dyDescent="0.25">
      <c r="A244" s="84">
        <v>46271</v>
      </c>
      <c r="B244" s="17" t="s">
        <v>349</v>
      </c>
      <c r="C244" s="17"/>
      <c r="D244" s="17" t="s">
        <v>476</v>
      </c>
      <c r="E244" s="17"/>
      <c r="F244" s="17">
        <v>4</v>
      </c>
      <c r="G244" s="76">
        <v>7000</v>
      </c>
      <c r="H244" s="19">
        <f t="shared" si="14"/>
        <v>28000</v>
      </c>
      <c r="I244" s="144"/>
      <c r="J244" s="81"/>
    </row>
    <row r="245" spans="1:10" x14ac:dyDescent="0.25">
      <c r="A245" s="84">
        <v>46271</v>
      </c>
      <c r="B245" s="17" t="s">
        <v>470</v>
      </c>
      <c r="C245" s="17"/>
      <c r="D245" s="17" t="s">
        <v>471</v>
      </c>
      <c r="E245" s="17"/>
      <c r="F245" s="17">
        <v>1</v>
      </c>
      <c r="G245" s="76">
        <v>4000</v>
      </c>
      <c r="H245" s="19">
        <f t="shared" si="14"/>
        <v>4000</v>
      </c>
      <c r="I245" s="144"/>
      <c r="J245" s="81"/>
    </row>
    <row r="246" spans="1:10" x14ac:dyDescent="0.25">
      <c r="A246" s="84">
        <v>46271</v>
      </c>
      <c r="B246" s="17" t="s">
        <v>472</v>
      </c>
      <c r="C246" s="17"/>
      <c r="D246" s="17" t="s">
        <v>477</v>
      </c>
      <c r="E246" s="17"/>
      <c r="F246" s="17">
        <v>4</v>
      </c>
      <c r="G246" s="76">
        <v>7000</v>
      </c>
      <c r="H246" s="19">
        <f t="shared" si="14"/>
        <v>28000</v>
      </c>
      <c r="I246" s="144"/>
      <c r="J246" s="81"/>
    </row>
    <row r="247" spans="1:10" x14ac:dyDescent="0.25">
      <c r="A247" s="84">
        <v>46271</v>
      </c>
      <c r="B247" s="17" t="s">
        <v>472</v>
      </c>
      <c r="C247" s="17"/>
      <c r="D247" s="17" t="s">
        <v>478</v>
      </c>
      <c r="E247" s="17"/>
      <c r="F247" s="17">
        <v>1</v>
      </c>
      <c r="G247" s="76">
        <v>19000</v>
      </c>
      <c r="H247" s="19">
        <f t="shared" si="14"/>
        <v>19000</v>
      </c>
      <c r="I247" s="144"/>
      <c r="J247" s="81"/>
    </row>
    <row r="248" spans="1:10" x14ac:dyDescent="0.25">
      <c r="A248" s="84">
        <v>46271</v>
      </c>
      <c r="B248" s="17" t="s">
        <v>472</v>
      </c>
      <c r="C248" s="17"/>
      <c r="D248" s="17" t="s">
        <v>255</v>
      </c>
      <c r="E248" s="17"/>
      <c r="F248" s="17">
        <v>1</v>
      </c>
      <c r="G248" s="76">
        <v>9000</v>
      </c>
      <c r="H248" s="19">
        <f t="shared" si="14"/>
        <v>9000</v>
      </c>
      <c r="I248" s="144"/>
      <c r="J248" s="81"/>
    </row>
    <row r="249" spans="1:10" x14ac:dyDescent="0.25">
      <c r="A249" s="84">
        <v>46271</v>
      </c>
      <c r="B249" s="17" t="s">
        <v>473</v>
      </c>
      <c r="C249" s="17"/>
      <c r="D249" s="17" t="s">
        <v>303</v>
      </c>
      <c r="E249" s="17"/>
      <c r="F249" s="17">
        <v>1</v>
      </c>
      <c r="G249" s="76">
        <v>10000</v>
      </c>
      <c r="H249" s="19">
        <f t="shared" si="14"/>
        <v>10000</v>
      </c>
      <c r="I249" s="144"/>
      <c r="J249" s="81"/>
    </row>
    <row r="250" spans="1:10" x14ac:dyDescent="0.25">
      <c r="A250" s="84">
        <v>46271</v>
      </c>
      <c r="B250" s="17" t="s">
        <v>474</v>
      </c>
      <c r="C250" s="17"/>
      <c r="D250" s="17" t="s">
        <v>479</v>
      </c>
      <c r="E250" s="17"/>
      <c r="F250" s="17">
        <v>1</v>
      </c>
      <c r="G250" s="76">
        <v>25000</v>
      </c>
      <c r="H250" s="19">
        <f t="shared" si="14"/>
        <v>25000</v>
      </c>
      <c r="I250" s="144"/>
      <c r="J250" s="81"/>
    </row>
    <row r="251" spans="1:10" x14ac:dyDescent="0.25">
      <c r="A251" s="84">
        <v>46271</v>
      </c>
      <c r="B251" s="17" t="s">
        <v>474</v>
      </c>
      <c r="C251" s="17"/>
      <c r="D251" s="17" t="s">
        <v>346</v>
      </c>
      <c r="E251" s="17"/>
      <c r="F251" s="17">
        <v>1</v>
      </c>
      <c r="G251" s="76">
        <v>6000</v>
      </c>
      <c r="H251" s="19">
        <f t="shared" si="14"/>
        <v>6000</v>
      </c>
      <c r="I251" s="144"/>
      <c r="J251" s="81"/>
    </row>
    <row r="252" spans="1:10" x14ac:dyDescent="0.25">
      <c r="A252" s="84">
        <v>46271</v>
      </c>
      <c r="B252" s="17" t="s">
        <v>474</v>
      </c>
      <c r="C252" s="17"/>
      <c r="D252" s="17" t="s">
        <v>255</v>
      </c>
      <c r="E252" s="17"/>
      <c r="F252" s="17">
        <v>1</v>
      </c>
      <c r="G252" s="76">
        <v>9000</v>
      </c>
      <c r="H252" s="19">
        <f>F252*G252</f>
        <v>9000</v>
      </c>
      <c r="I252" s="144"/>
      <c r="J252" s="81"/>
    </row>
    <row r="253" spans="1:10" x14ac:dyDescent="0.25">
      <c r="A253" s="84">
        <v>46271</v>
      </c>
      <c r="B253" s="17" t="s">
        <v>460</v>
      </c>
      <c r="C253" s="17"/>
      <c r="D253" s="17" t="s">
        <v>475</v>
      </c>
      <c r="E253" s="17"/>
      <c r="F253" s="17">
        <v>1</v>
      </c>
      <c r="G253" s="76">
        <v>8000</v>
      </c>
      <c r="H253" s="19">
        <f>F253*G253</f>
        <v>8000</v>
      </c>
      <c r="I253" s="144"/>
      <c r="J253" s="81"/>
    </row>
    <row r="254" spans="1:10" x14ac:dyDescent="0.25">
      <c r="A254" s="84">
        <v>46271</v>
      </c>
      <c r="B254" s="17" t="s">
        <v>460</v>
      </c>
      <c r="C254" s="17"/>
      <c r="D254" s="17" t="s">
        <v>105</v>
      </c>
      <c r="E254" s="17"/>
      <c r="F254" s="17">
        <v>1</v>
      </c>
      <c r="G254" s="76">
        <v>4000</v>
      </c>
      <c r="H254" s="19">
        <f>F254*G254</f>
        <v>4000</v>
      </c>
      <c r="I254" s="144"/>
      <c r="J254" s="81"/>
    </row>
    <row r="255" spans="1:10" x14ac:dyDescent="0.25">
      <c r="A255" s="84">
        <v>46271</v>
      </c>
      <c r="B255" s="17" t="s">
        <v>382</v>
      </c>
      <c r="C255" s="17"/>
      <c r="D255" s="17" t="s">
        <v>417</v>
      </c>
      <c r="E255" s="17"/>
      <c r="F255" s="17">
        <v>1</v>
      </c>
      <c r="G255" s="76">
        <v>9000</v>
      </c>
      <c r="H255" s="19">
        <f>F255*G255</f>
        <v>9000</v>
      </c>
      <c r="I255" s="144"/>
      <c r="J255" s="81"/>
    </row>
    <row r="256" spans="1:10" x14ac:dyDescent="0.25">
      <c r="A256" s="84">
        <v>46271</v>
      </c>
      <c r="B256" s="17" t="s">
        <v>382</v>
      </c>
      <c r="C256" s="17"/>
      <c r="D256" s="17" t="s">
        <v>401</v>
      </c>
      <c r="E256" s="17"/>
      <c r="F256" s="17">
        <v>1</v>
      </c>
      <c r="G256" s="76">
        <v>12000</v>
      </c>
      <c r="H256" s="19">
        <f>F256*G256</f>
        <v>12000</v>
      </c>
      <c r="I256" s="144"/>
      <c r="J256" s="81"/>
    </row>
    <row r="257" spans="1:10" x14ac:dyDescent="0.25">
      <c r="A257" s="84">
        <v>46271</v>
      </c>
      <c r="B257" s="17" t="s">
        <v>382</v>
      </c>
      <c r="C257" s="17"/>
      <c r="D257" s="17" t="s">
        <v>392</v>
      </c>
      <c r="E257" s="17"/>
      <c r="F257" s="17">
        <v>1</v>
      </c>
      <c r="G257" s="76">
        <v>3500</v>
      </c>
      <c r="H257" s="19">
        <f t="shared" ref="H257:H268" si="15">F257*G257</f>
        <v>3500</v>
      </c>
      <c r="I257" s="144"/>
      <c r="J257" s="81"/>
    </row>
    <row r="258" spans="1:10" x14ac:dyDescent="0.25">
      <c r="A258" s="84">
        <v>46271</v>
      </c>
      <c r="B258" s="17" t="s">
        <v>260</v>
      </c>
      <c r="C258" s="17"/>
      <c r="D258" s="17" t="s">
        <v>407</v>
      </c>
      <c r="E258" s="17"/>
      <c r="F258" s="17">
        <v>1</v>
      </c>
      <c r="G258" s="76">
        <v>14000</v>
      </c>
      <c r="H258" s="19">
        <f t="shared" si="15"/>
        <v>14000</v>
      </c>
      <c r="I258" s="144"/>
      <c r="J258" s="81"/>
    </row>
    <row r="259" spans="1:10" x14ac:dyDescent="0.25">
      <c r="A259" s="84">
        <v>46271</v>
      </c>
      <c r="B259" s="17" t="s">
        <v>260</v>
      </c>
      <c r="C259" s="17"/>
      <c r="D259" s="17" t="s">
        <v>255</v>
      </c>
      <c r="E259" s="17"/>
      <c r="F259" s="17">
        <v>1</v>
      </c>
      <c r="G259" s="76">
        <v>9000</v>
      </c>
      <c r="H259" s="19">
        <f t="shared" si="15"/>
        <v>9000</v>
      </c>
      <c r="I259" s="144"/>
      <c r="J259" s="81"/>
    </row>
    <row r="260" spans="1:10" x14ac:dyDescent="0.25">
      <c r="A260" s="84">
        <v>46271</v>
      </c>
      <c r="B260" s="17" t="s">
        <v>260</v>
      </c>
      <c r="C260" s="17"/>
      <c r="D260" s="17" t="s">
        <v>145</v>
      </c>
      <c r="E260" s="17"/>
      <c r="F260" s="17">
        <v>1</v>
      </c>
      <c r="G260" s="76">
        <v>8000</v>
      </c>
      <c r="H260" s="19">
        <f t="shared" si="15"/>
        <v>8000</v>
      </c>
      <c r="I260" s="144"/>
      <c r="J260" s="81"/>
    </row>
    <row r="261" spans="1:10" x14ac:dyDescent="0.25">
      <c r="A261" s="84">
        <v>46271</v>
      </c>
      <c r="B261" s="17" t="s">
        <v>482</v>
      </c>
      <c r="C261" s="17"/>
      <c r="D261" s="17" t="s">
        <v>200</v>
      </c>
      <c r="E261" s="17"/>
      <c r="F261" s="17">
        <v>1</v>
      </c>
      <c r="G261" s="76">
        <v>3000</v>
      </c>
      <c r="H261" s="19">
        <f t="shared" si="15"/>
        <v>3000</v>
      </c>
      <c r="I261" s="144"/>
      <c r="J261" s="81"/>
    </row>
    <row r="262" spans="1:10" x14ac:dyDescent="0.25">
      <c r="A262" s="84">
        <v>46271</v>
      </c>
      <c r="B262" s="17" t="s">
        <v>482</v>
      </c>
      <c r="C262" s="17"/>
      <c r="D262" s="17" t="s">
        <v>483</v>
      </c>
      <c r="E262" s="17"/>
      <c r="F262" s="17">
        <v>1</v>
      </c>
      <c r="G262" s="76">
        <v>5000</v>
      </c>
      <c r="H262" s="19">
        <f t="shared" si="15"/>
        <v>5000</v>
      </c>
      <c r="I262" s="144"/>
      <c r="J262" s="81"/>
    </row>
    <row r="263" spans="1:10" x14ac:dyDescent="0.25">
      <c r="A263" s="84">
        <v>46271</v>
      </c>
      <c r="B263" s="17" t="s">
        <v>482</v>
      </c>
      <c r="C263" s="17"/>
      <c r="D263" s="17" t="s">
        <v>248</v>
      </c>
      <c r="E263" s="17"/>
      <c r="F263" s="17">
        <v>1</v>
      </c>
      <c r="G263" s="76">
        <v>7000</v>
      </c>
      <c r="H263" s="19">
        <f t="shared" si="15"/>
        <v>7000</v>
      </c>
      <c r="I263" s="144"/>
      <c r="J263" s="81"/>
    </row>
    <row r="264" spans="1:10" x14ac:dyDescent="0.25">
      <c r="A264" s="84">
        <v>46271</v>
      </c>
      <c r="B264" s="17" t="s">
        <v>482</v>
      </c>
      <c r="C264" s="17"/>
      <c r="D264" s="17" t="s">
        <v>307</v>
      </c>
      <c r="E264" s="17"/>
      <c r="F264" s="17">
        <v>1</v>
      </c>
      <c r="G264" s="76">
        <v>3000</v>
      </c>
      <c r="H264" s="19">
        <f t="shared" si="15"/>
        <v>3000</v>
      </c>
      <c r="I264" s="144"/>
      <c r="J264" s="81"/>
    </row>
    <row r="265" spans="1:10" x14ac:dyDescent="0.25">
      <c r="A265" s="84">
        <v>46271</v>
      </c>
      <c r="B265" s="17" t="s">
        <v>484</v>
      </c>
      <c r="C265" s="17"/>
      <c r="D265" s="17" t="s">
        <v>277</v>
      </c>
      <c r="E265" s="17"/>
      <c r="F265" s="17">
        <v>3</v>
      </c>
      <c r="G265" s="76">
        <v>1000</v>
      </c>
      <c r="H265" s="19">
        <f t="shared" si="15"/>
        <v>3000</v>
      </c>
      <c r="I265" s="144"/>
      <c r="J265" s="81"/>
    </row>
    <row r="266" spans="1:10" x14ac:dyDescent="0.25">
      <c r="A266" s="84">
        <v>46271</v>
      </c>
      <c r="B266" s="17" t="s">
        <v>484</v>
      </c>
      <c r="C266" s="17"/>
      <c r="D266" s="17" t="s">
        <v>464</v>
      </c>
      <c r="E266" s="17"/>
      <c r="F266" s="17">
        <v>3</v>
      </c>
      <c r="G266" s="76">
        <v>2500</v>
      </c>
      <c r="H266" s="19">
        <f t="shared" si="15"/>
        <v>7500</v>
      </c>
      <c r="I266" s="144"/>
      <c r="J266" s="81"/>
    </row>
    <row r="267" spans="1:10" x14ac:dyDescent="0.25">
      <c r="A267" s="84">
        <v>46271</v>
      </c>
      <c r="B267" s="17" t="s">
        <v>484</v>
      </c>
      <c r="C267" s="17"/>
      <c r="D267" s="17" t="s">
        <v>392</v>
      </c>
      <c r="E267" s="17"/>
      <c r="F267" s="17">
        <v>1</v>
      </c>
      <c r="G267" s="76">
        <v>3500</v>
      </c>
      <c r="H267" s="19">
        <f t="shared" si="15"/>
        <v>3500</v>
      </c>
      <c r="I267" s="144"/>
      <c r="J267" s="81"/>
    </row>
    <row r="268" spans="1:10" x14ac:dyDescent="0.25">
      <c r="A268" s="84">
        <v>46271</v>
      </c>
      <c r="B268" s="17" t="s">
        <v>484</v>
      </c>
      <c r="C268" s="17"/>
      <c r="D268" s="17" t="s">
        <v>427</v>
      </c>
      <c r="E268" s="17"/>
      <c r="F268" s="17">
        <v>1</v>
      </c>
      <c r="G268" s="76">
        <v>10000</v>
      </c>
      <c r="H268" s="19">
        <f t="shared" si="15"/>
        <v>10000</v>
      </c>
      <c r="I268" s="144"/>
      <c r="J268" s="81"/>
    </row>
    <row r="269" spans="1:10" ht="15.75" thickBot="1" x14ac:dyDescent="0.3">
      <c r="A269" s="84">
        <v>46271</v>
      </c>
      <c r="B269" s="17" t="s">
        <v>484</v>
      </c>
      <c r="C269" s="17"/>
      <c r="D269" s="17" t="s">
        <v>248</v>
      </c>
      <c r="E269" s="17"/>
      <c r="F269" s="17">
        <v>1</v>
      </c>
      <c r="G269" s="76">
        <v>7000</v>
      </c>
      <c r="H269" s="19">
        <f t="shared" ref="H269:H300" si="16">F269*G269</f>
        <v>7000</v>
      </c>
      <c r="I269" s="145"/>
      <c r="J269" s="81"/>
    </row>
    <row r="270" spans="1:10" x14ac:dyDescent="0.25">
      <c r="A270" s="84">
        <v>46272</v>
      </c>
      <c r="B270" s="17" t="s">
        <v>487</v>
      </c>
      <c r="C270" s="17"/>
      <c r="D270" s="17" t="s">
        <v>227</v>
      </c>
      <c r="E270" s="17"/>
      <c r="F270" s="17">
        <v>3</v>
      </c>
      <c r="G270" s="76">
        <v>3000</v>
      </c>
      <c r="H270" s="19">
        <f t="shared" si="16"/>
        <v>9000</v>
      </c>
      <c r="I270" s="146">
        <f>SUM(H270:H283)</f>
        <v>143500</v>
      </c>
      <c r="J270" s="81"/>
    </row>
    <row r="271" spans="1:10" x14ac:dyDescent="0.25">
      <c r="A271" s="84">
        <v>46272</v>
      </c>
      <c r="B271" s="17" t="s">
        <v>487</v>
      </c>
      <c r="C271" s="17"/>
      <c r="D271" s="17" t="s">
        <v>397</v>
      </c>
      <c r="E271" s="17"/>
      <c r="F271" s="17">
        <v>3</v>
      </c>
      <c r="G271" s="76">
        <v>7000</v>
      </c>
      <c r="H271" s="19">
        <f t="shared" si="16"/>
        <v>21000</v>
      </c>
      <c r="I271" s="141"/>
      <c r="J271" s="81"/>
    </row>
    <row r="272" spans="1:10" x14ac:dyDescent="0.25">
      <c r="A272" s="84">
        <v>46272</v>
      </c>
      <c r="B272" s="17" t="s">
        <v>487</v>
      </c>
      <c r="C272" s="17"/>
      <c r="D272" s="17" t="s">
        <v>311</v>
      </c>
      <c r="E272" s="17"/>
      <c r="F272" s="17">
        <v>2</v>
      </c>
      <c r="G272" s="76">
        <v>8000</v>
      </c>
      <c r="H272" s="19">
        <f t="shared" si="16"/>
        <v>16000</v>
      </c>
      <c r="I272" s="141"/>
      <c r="J272" s="81"/>
    </row>
    <row r="273" spans="1:10" x14ac:dyDescent="0.25">
      <c r="A273" s="84">
        <v>46272</v>
      </c>
      <c r="B273" s="17" t="s">
        <v>488</v>
      </c>
      <c r="C273" s="17"/>
      <c r="D273" s="17" t="s">
        <v>489</v>
      </c>
      <c r="E273" s="17"/>
      <c r="F273" s="17">
        <v>4</v>
      </c>
      <c r="G273" s="76">
        <v>2500</v>
      </c>
      <c r="H273" s="19">
        <f t="shared" si="16"/>
        <v>10000</v>
      </c>
      <c r="I273" s="141"/>
      <c r="J273" s="81"/>
    </row>
    <row r="274" spans="1:10" x14ac:dyDescent="0.25">
      <c r="A274" s="84">
        <v>46272</v>
      </c>
      <c r="B274" s="17" t="s">
        <v>488</v>
      </c>
      <c r="C274" s="17"/>
      <c r="D274" s="17" t="s">
        <v>490</v>
      </c>
      <c r="E274" s="17"/>
      <c r="F274" s="17">
        <v>2</v>
      </c>
      <c r="G274" s="76">
        <v>2500</v>
      </c>
      <c r="H274" s="19">
        <f t="shared" si="16"/>
        <v>5000</v>
      </c>
      <c r="I274" s="141"/>
      <c r="J274" s="81"/>
    </row>
    <row r="275" spans="1:10" x14ac:dyDescent="0.25">
      <c r="A275" s="84">
        <v>46272</v>
      </c>
      <c r="B275" s="17" t="s">
        <v>382</v>
      </c>
      <c r="C275" s="17"/>
      <c r="D275" s="17" t="s">
        <v>375</v>
      </c>
      <c r="E275" s="17"/>
      <c r="F275" s="17">
        <v>1</v>
      </c>
      <c r="G275" s="76">
        <v>10000</v>
      </c>
      <c r="H275" s="19">
        <f t="shared" si="16"/>
        <v>10000</v>
      </c>
      <c r="I275" s="141"/>
      <c r="J275" s="81"/>
    </row>
    <row r="276" spans="1:10" x14ac:dyDescent="0.25">
      <c r="A276" s="84">
        <v>46272</v>
      </c>
      <c r="B276" s="17" t="s">
        <v>491</v>
      </c>
      <c r="C276" s="17"/>
      <c r="D276" s="17" t="s">
        <v>325</v>
      </c>
      <c r="E276" s="17"/>
      <c r="F276" s="17">
        <v>1</v>
      </c>
      <c r="G276" s="76">
        <v>8000</v>
      </c>
      <c r="H276" s="19">
        <f t="shared" si="16"/>
        <v>8000</v>
      </c>
      <c r="I276" s="141"/>
      <c r="J276" s="81"/>
    </row>
    <row r="277" spans="1:10" x14ac:dyDescent="0.25">
      <c r="A277" s="84">
        <v>46272</v>
      </c>
      <c r="B277" s="17" t="s">
        <v>492</v>
      </c>
      <c r="C277" s="17"/>
      <c r="D277" s="17" t="s">
        <v>93</v>
      </c>
      <c r="E277" s="17"/>
      <c r="F277" s="17">
        <v>1</v>
      </c>
      <c r="G277" s="76">
        <v>0</v>
      </c>
      <c r="H277" s="19">
        <f t="shared" si="16"/>
        <v>0</v>
      </c>
      <c r="I277" s="141"/>
      <c r="J277" s="81"/>
    </row>
    <row r="278" spans="1:10" x14ac:dyDescent="0.25">
      <c r="A278" s="84">
        <v>46272</v>
      </c>
      <c r="B278" s="17" t="s">
        <v>493</v>
      </c>
      <c r="C278" s="17"/>
      <c r="D278" s="17" t="s">
        <v>389</v>
      </c>
      <c r="E278" s="17"/>
      <c r="F278" s="17">
        <v>1</v>
      </c>
      <c r="G278" s="76">
        <v>9000</v>
      </c>
      <c r="H278" s="19">
        <f t="shared" si="16"/>
        <v>9000</v>
      </c>
      <c r="I278" s="141"/>
      <c r="J278" s="81"/>
    </row>
    <row r="279" spans="1:10" x14ac:dyDescent="0.25">
      <c r="A279" s="84">
        <v>46272</v>
      </c>
      <c r="B279" s="17" t="s">
        <v>493</v>
      </c>
      <c r="C279" s="17"/>
      <c r="D279" s="17" t="s">
        <v>494</v>
      </c>
      <c r="E279" s="17"/>
      <c r="F279" s="17">
        <v>1</v>
      </c>
      <c r="G279" s="76">
        <v>12000</v>
      </c>
      <c r="H279" s="19">
        <f t="shared" si="16"/>
        <v>12000</v>
      </c>
      <c r="I279" s="141"/>
      <c r="J279" s="81"/>
    </row>
    <row r="280" spans="1:10" x14ac:dyDescent="0.25">
      <c r="A280" s="84">
        <v>46272</v>
      </c>
      <c r="B280" s="17" t="s">
        <v>495</v>
      </c>
      <c r="C280" s="17"/>
      <c r="D280" s="17" t="s">
        <v>248</v>
      </c>
      <c r="E280" s="17"/>
      <c r="F280" s="17">
        <v>3</v>
      </c>
      <c r="G280" s="76">
        <v>2500</v>
      </c>
      <c r="H280" s="19">
        <f t="shared" si="16"/>
        <v>7500</v>
      </c>
      <c r="I280" s="141"/>
      <c r="J280" s="81"/>
    </row>
    <row r="281" spans="1:10" x14ac:dyDescent="0.25">
      <c r="A281" s="84">
        <v>46272</v>
      </c>
      <c r="B281" s="17" t="s">
        <v>495</v>
      </c>
      <c r="C281" s="17"/>
      <c r="D281" s="17" t="s">
        <v>325</v>
      </c>
      <c r="E281" s="17"/>
      <c r="F281" s="17">
        <v>3</v>
      </c>
      <c r="G281" s="76">
        <v>4000</v>
      </c>
      <c r="H281" s="19">
        <f t="shared" si="16"/>
        <v>12000</v>
      </c>
      <c r="I281" s="141"/>
      <c r="J281" s="81"/>
    </row>
    <row r="282" spans="1:10" x14ac:dyDescent="0.25">
      <c r="A282" s="84">
        <v>46272</v>
      </c>
      <c r="B282" s="17" t="s">
        <v>495</v>
      </c>
      <c r="C282" s="17"/>
      <c r="D282" s="17" t="s">
        <v>411</v>
      </c>
      <c r="E282" s="17"/>
      <c r="F282" s="17">
        <v>1</v>
      </c>
      <c r="G282" s="76">
        <v>12000</v>
      </c>
      <c r="H282" s="19">
        <f t="shared" si="16"/>
        <v>12000</v>
      </c>
      <c r="I282" s="141"/>
      <c r="J282" s="81"/>
    </row>
    <row r="283" spans="1:10" ht="15.75" thickBot="1" x14ac:dyDescent="0.3">
      <c r="A283" s="84">
        <v>46272</v>
      </c>
      <c r="B283" s="17" t="s">
        <v>495</v>
      </c>
      <c r="C283" s="17"/>
      <c r="D283" s="17" t="s">
        <v>418</v>
      </c>
      <c r="E283" s="17"/>
      <c r="F283" s="17">
        <v>1</v>
      </c>
      <c r="G283" s="76">
        <v>12000</v>
      </c>
      <c r="H283" s="19">
        <f t="shared" si="16"/>
        <v>12000</v>
      </c>
      <c r="I283" s="147"/>
      <c r="J283" s="81"/>
    </row>
    <row r="284" spans="1:10" x14ac:dyDescent="0.25">
      <c r="A284" s="84">
        <v>46273</v>
      </c>
      <c r="B284" s="17" t="s">
        <v>499</v>
      </c>
      <c r="C284" s="17"/>
      <c r="D284" s="17" t="s">
        <v>394</v>
      </c>
      <c r="E284" s="17"/>
      <c r="F284" s="17">
        <v>1</v>
      </c>
      <c r="G284" s="76">
        <v>20000</v>
      </c>
      <c r="H284" s="19">
        <f t="shared" si="16"/>
        <v>20000</v>
      </c>
      <c r="I284" s="146">
        <f>SUM(H284:H299)</f>
        <v>162500</v>
      </c>
      <c r="J284" s="81"/>
    </row>
    <row r="285" spans="1:10" x14ac:dyDescent="0.25">
      <c r="A285" s="84">
        <v>46273</v>
      </c>
      <c r="B285" s="17" t="s">
        <v>499</v>
      </c>
      <c r="C285" s="17"/>
      <c r="D285" s="17" t="s">
        <v>401</v>
      </c>
      <c r="E285" s="17"/>
      <c r="F285" s="17">
        <v>1</v>
      </c>
      <c r="G285" s="76">
        <v>12000</v>
      </c>
      <c r="H285" s="19">
        <f t="shared" si="16"/>
        <v>12000</v>
      </c>
      <c r="I285" s="141"/>
      <c r="J285" s="81"/>
    </row>
    <row r="286" spans="1:10" x14ac:dyDescent="0.25">
      <c r="A286" s="84">
        <v>46273</v>
      </c>
      <c r="B286" s="17" t="s">
        <v>499</v>
      </c>
      <c r="C286" s="17"/>
      <c r="D286" s="17" t="s">
        <v>400</v>
      </c>
      <c r="E286" s="17"/>
      <c r="F286" s="17">
        <v>1</v>
      </c>
      <c r="G286" s="76">
        <v>12000</v>
      </c>
      <c r="H286" s="19">
        <f t="shared" si="16"/>
        <v>12000</v>
      </c>
      <c r="I286" s="141"/>
      <c r="J286" s="81"/>
    </row>
    <row r="287" spans="1:10" x14ac:dyDescent="0.25">
      <c r="A287" s="84">
        <v>46273</v>
      </c>
      <c r="B287" s="17" t="s">
        <v>499</v>
      </c>
      <c r="C287" s="17"/>
      <c r="D287" s="17" t="s">
        <v>423</v>
      </c>
      <c r="E287" s="17"/>
      <c r="F287" s="17">
        <v>1</v>
      </c>
      <c r="G287" s="76">
        <v>8000</v>
      </c>
      <c r="H287" s="19">
        <f t="shared" si="16"/>
        <v>8000</v>
      </c>
      <c r="I287" s="141"/>
      <c r="J287" s="81"/>
    </row>
    <row r="288" spans="1:10" x14ac:dyDescent="0.25">
      <c r="A288" s="84">
        <v>46273</v>
      </c>
      <c r="B288" s="17" t="s">
        <v>499</v>
      </c>
      <c r="C288" s="17"/>
      <c r="D288" s="17" t="s">
        <v>392</v>
      </c>
      <c r="E288" s="17"/>
      <c r="F288" s="17">
        <v>2</v>
      </c>
      <c r="G288" s="76">
        <v>3500</v>
      </c>
      <c r="H288" s="19">
        <f t="shared" si="16"/>
        <v>7000</v>
      </c>
      <c r="I288" s="141"/>
      <c r="J288" s="81"/>
    </row>
    <row r="289" spans="1:10" x14ac:dyDescent="0.25">
      <c r="A289" s="84">
        <v>46273</v>
      </c>
      <c r="B289" s="17" t="s">
        <v>382</v>
      </c>
      <c r="C289" s="17"/>
      <c r="D289" s="17" t="s">
        <v>255</v>
      </c>
      <c r="E289" s="17"/>
      <c r="F289" s="17">
        <v>1</v>
      </c>
      <c r="G289" s="76">
        <v>9000</v>
      </c>
      <c r="H289" s="19">
        <f t="shared" si="16"/>
        <v>9000</v>
      </c>
      <c r="I289" s="141"/>
      <c r="J289" s="81"/>
    </row>
    <row r="290" spans="1:10" x14ac:dyDescent="0.25">
      <c r="A290" s="84">
        <v>46273</v>
      </c>
      <c r="B290" s="17" t="s">
        <v>382</v>
      </c>
      <c r="C290" s="17"/>
      <c r="D290" s="17" t="s">
        <v>427</v>
      </c>
      <c r="E290" s="17"/>
      <c r="F290" s="17">
        <v>1</v>
      </c>
      <c r="G290" s="76">
        <v>10000</v>
      </c>
      <c r="H290" s="19">
        <f t="shared" si="16"/>
        <v>10000</v>
      </c>
      <c r="I290" s="141"/>
      <c r="J290" s="81"/>
    </row>
    <row r="291" spans="1:10" x14ac:dyDescent="0.25">
      <c r="A291" s="84">
        <v>46273</v>
      </c>
      <c r="B291" s="17" t="s">
        <v>382</v>
      </c>
      <c r="C291" s="17"/>
      <c r="D291" s="17" t="s">
        <v>424</v>
      </c>
      <c r="E291" s="17"/>
      <c r="F291" s="17">
        <v>1</v>
      </c>
      <c r="G291" s="76">
        <v>3000</v>
      </c>
      <c r="H291" s="19">
        <f t="shared" si="16"/>
        <v>3000</v>
      </c>
      <c r="I291" s="141"/>
      <c r="J291" s="81"/>
    </row>
    <row r="292" spans="1:10" x14ac:dyDescent="0.25">
      <c r="A292" s="84">
        <v>46273</v>
      </c>
      <c r="B292" s="17" t="s">
        <v>382</v>
      </c>
      <c r="C292" s="17"/>
      <c r="D292" s="17" t="s">
        <v>501</v>
      </c>
      <c r="E292" s="17"/>
      <c r="F292" s="17">
        <v>1</v>
      </c>
      <c r="G292" s="76">
        <v>10000</v>
      </c>
      <c r="H292" s="19">
        <f t="shared" si="16"/>
        <v>10000</v>
      </c>
      <c r="I292" s="141"/>
      <c r="J292" s="81"/>
    </row>
    <row r="293" spans="1:10" x14ac:dyDescent="0.25">
      <c r="A293" s="84">
        <v>46273</v>
      </c>
      <c r="B293" s="17" t="s">
        <v>382</v>
      </c>
      <c r="C293" s="17"/>
      <c r="D293" s="17" t="s">
        <v>109</v>
      </c>
      <c r="E293" s="17"/>
      <c r="F293" s="17">
        <v>1</v>
      </c>
      <c r="G293" s="76">
        <v>12000</v>
      </c>
      <c r="H293" s="19">
        <f t="shared" si="16"/>
        <v>12000</v>
      </c>
      <c r="I293" s="141"/>
      <c r="J293" s="81"/>
    </row>
    <row r="294" spans="1:10" x14ac:dyDescent="0.25">
      <c r="A294" s="84">
        <v>46273</v>
      </c>
      <c r="B294" s="17" t="s">
        <v>382</v>
      </c>
      <c r="C294" s="17"/>
      <c r="D294" s="17" t="s">
        <v>98</v>
      </c>
      <c r="E294" s="17"/>
      <c r="F294" s="17">
        <v>1</v>
      </c>
      <c r="G294" s="76">
        <v>3000</v>
      </c>
      <c r="H294" s="19">
        <f t="shared" si="16"/>
        <v>3000</v>
      </c>
      <c r="I294" s="141"/>
      <c r="J294" s="81"/>
    </row>
    <row r="295" spans="1:10" x14ac:dyDescent="0.25">
      <c r="A295" s="84">
        <v>46273</v>
      </c>
      <c r="B295" s="17" t="s">
        <v>382</v>
      </c>
      <c r="C295" s="17"/>
      <c r="D295" s="17" t="s">
        <v>418</v>
      </c>
      <c r="E295" s="17"/>
      <c r="F295" s="17">
        <v>1</v>
      </c>
      <c r="G295" s="76">
        <v>15000</v>
      </c>
      <c r="H295" s="19">
        <f t="shared" si="16"/>
        <v>15000</v>
      </c>
      <c r="I295" s="141"/>
      <c r="J295" s="81"/>
    </row>
    <row r="296" spans="1:10" x14ac:dyDescent="0.25">
      <c r="A296" s="84">
        <v>46273</v>
      </c>
      <c r="B296" s="17" t="s">
        <v>415</v>
      </c>
      <c r="C296" s="17"/>
      <c r="D296" s="17" t="s">
        <v>378</v>
      </c>
      <c r="E296" s="17"/>
      <c r="F296" s="17">
        <v>2</v>
      </c>
      <c r="G296" s="76">
        <v>5000</v>
      </c>
      <c r="H296" s="19">
        <f t="shared" si="16"/>
        <v>10000</v>
      </c>
      <c r="I296" s="141"/>
      <c r="J296" s="81"/>
    </row>
    <row r="297" spans="1:10" x14ac:dyDescent="0.25">
      <c r="A297" s="84">
        <v>46273</v>
      </c>
      <c r="B297" s="17" t="s">
        <v>415</v>
      </c>
      <c r="C297" s="17"/>
      <c r="D297" s="17" t="s">
        <v>384</v>
      </c>
      <c r="E297" s="17"/>
      <c r="F297" s="17">
        <v>2</v>
      </c>
      <c r="G297" s="76">
        <v>5000</v>
      </c>
      <c r="H297" s="19">
        <f t="shared" si="16"/>
        <v>10000</v>
      </c>
      <c r="I297" s="141"/>
      <c r="J297" s="81"/>
    </row>
    <row r="298" spans="1:10" x14ac:dyDescent="0.25">
      <c r="A298" s="84">
        <v>46273</v>
      </c>
      <c r="B298" s="17" t="s">
        <v>516</v>
      </c>
      <c r="C298" s="17"/>
      <c r="D298" s="17" t="s">
        <v>187</v>
      </c>
      <c r="E298" s="17"/>
      <c r="F298" s="17">
        <v>1</v>
      </c>
      <c r="G298" s="76">
        <v>9000</v>
      </c>
      <c r="H298" s="19">
        <f t="shared" si="16"/>
        <v>9000</v>
      </c>
      <c r="I298" s="141"/>
      <c r="J298" s="81"/>
    </row>
    <row r="299" spans="1:10" ht="15.75" thickBot="1" x14ac:dyDescent="0.3">
      <c r="A299" s="84">
        <v>46273</v>
      </c>
      <c r="B299" s="17" t="s">
        <v>382</v>
      </c>
      <c r="C299" s="17"/>
      <c r="D299" s="17" t="s">
        <v>490</v>
      </c>
      <c r="E299" s="17"/>
      <c r="F299" s="17">
        <v>5</v>
      </c>
      <c r="G299" s="76">
        <v>2500</v>
      </c>
      <c r="H299" s="19">
        <f t="shared" si="16"/>
        <v>12500</v>
      </c>
      <c r="I299" s="147"/>
      <c r="J299" s="81"/>
    </row>
    <row r="300" spans="1:10" x14ac:dyDescent="0.25">
      <c r="A300" s="84">
        <v>46274</v>
      </c>
      <c r="B300" s="17" t="s">
        <v>517</v>
      </c>
      <c r="C300" s="17"/>
      <c r="D300" s="17" t="s">
        <v>325</v>
      </c>
      <c r="E300" s="17"/>
      <c r="F300" s="17">
        <v>3</v>
      </c>
      <c r="G300" s="76">
        <v>8000</v>
      </c>
      <c r="H300" s="19">
        <f t="shared" si="16"/>
        <v>24000</v>
      </c>
      <c r="I300" s="146">
        <f>SUM(H300:H316)</f>
        <v>235800</v>
      </c>
      <c r="J300" s="81"/>
    </row>
    <row r="301" spans="1:10" x14ac:dyDescent="0.25">
      <c r="A301" s="84">
        <v>46274</v>
      </c>
      <c r="B301" s="17" t="s">
        <v>517</v>
      </c>
      <c r="C301" s="17"/>
      <c r="D301" s="17" t="s">
        <v>521</v>
      </c>
      <c r="E301" s="17"/>
      <c r="F301" s="17">
        <v>1</v>
      </c>
      <c r="G301" s="76">
        <v>8000</v>
      </c>
      <c r="H301" s="19">
        <f t="shared" ref="H301:H332" si="17">F301*G301</f>
        <v>8000</v>
      </c>
      <c r="I301" s="141"/>
      <c r="J301" s="81"/>
    </row>
    <row r="302" spans="1:10" x14ac:dyDescent="0.25">
      <c r="A302" s="84">
        <v>46274</v>
      </c>
      <c r="B302" s="17" t="s">
        <v>517</v>
      </c>
      <c r="C302" s="17"/>
      <c r="D302" s="17" t="s">
        <v>397</v>
      </c>
      <c r="E302" s="17"/>
      <c r="F302" s="17">
        <v>3</v>
      </c>
      <c r="G302" s="76">
        <v>7000</v>
      </c>
      <c r="H302" s="19">
        <f t="shared" si="17"/>
        <v>21000</v>
      </c>
      <c r="I302" s="141"/>
      <c r="J302" s="81"/>
    </row>
    <row r="303" spans="1:10" x14ac:dyDescent="0.25">
      <c r="A303" s="84">
        <v>46274</v>
      </c>
      <c r="B303" s="17" t="s">
        <v>518</v>
      </c>
      <c r="C303" s="17"/>
      <c r="D303" s="17" t="s">
        <v>375</v>
      </c>
      <c r="E303" s="17"/>
      <c r="F303" s="17">
        <v>2</v>
      </c>
      <c r="G303" s="76">
        <v>10000</v>
      </c>
      <c r="H303" s="19">
        <f t="shared" si="17"/>
        <v>20000</v>
      </c>
      <c r="I303" s="141"/>
      <c r="J303" s="81"/>
    </row>
    <row r="304" spans="1:10" x14ac:dyDescent="0.25">
      <c r="A304" s="84">
        <v>46274</v>
      </c>
      <c r="B304" s="17" t="s">
        <v>518</v>
      </c>
      <c r="C304" s="17"/>
      <c r="D304" s="17" t="s">
        <v>417</v>
      </c>
      <c r="E304" s="17"/>
      <c r="F304" s="17">
        <v>1</v>
      </c>
      <c r="G304" s="76">
        <v>7000</v>
      </c>
      <c r="H304" s="19">
        <f t="shared" si="17"/>
        <v>7000</v>
      </c>
      <c r="I304" s="141"/>
      <c r="J304" s="81"/>
    </row>
    <row r="305" spans="1:10" x14ac:dyDescent="0.25">
      <c r="A305" s="84">
        <v>46274</v>
      </c>
      <c r="B305" s="17" t="s">
        <v>518</v>
      </c>
      <c r="C305" s="17"/>
      <c r="D305" s="17" t="s">
        <v>362</v>
      </c>
      <c r="E305" s="17"/>
      <c r="F305" s="17">
        <v>2</v>
      </c>
      <c r="G305" s="76">
        <v>1500</v>
      </c>
      <c r="H305" s="19">
        <f t="shared" si="17"/>
        <v>3000</v>
      </c>
      <c r="I305" s="141"/>
      <c r="J305" s="81"/>
    </row>
    <row r="306" spans="1:10" x14ac:dyDescent="0.25">
      <c r="A306" s="84">
        <v>46274</v>
      </c>
      <c r="B306" s="17" t="s">
        <v>519</v>
      </c>
      <c r="C306" s="17"/>
      <c r="D306" s="17" t="s">
        <v>325</v>
      </c>
      <c r="E306" s="17"/>
      <c r="F306" s="17">
        <v>5</v>
      </c>
      <c r="G306" s="76">
        <v>7000</v>
      </c>
      <c r="H306" s="19">
        <f t="shared" si="17"/>
        <v>35000</v>
      </c>
      <c r="I306" s="141"/>
      <c r="J306" s="81"/>
    </row>
    <row r="307" spans="1:10" x14ac:dyDescent="0.25">
      <c r="A307" s="84">
        <v>46274</v>
      </c>
      <c r="B307" s="17" t="s">
        <v>519</v>
      </c>
      <c r="C307" s="17"/>
      <c r="D307" s="17" t="s">
        <v>417</v>
      </c>
      <c r="E307" s="17"/>
      <c r="F307" s="17">
        <v>5</v>
      </c>
      <c r="G307" s="76">
        <v>7000</v>
      </c>
      <c r="H307" s="19">
        <f t="shared" si="17"/>
        <v>35000</v>
      </c>
      <c r="I307" s="141"/>
      <c r="J307" s="81"/>
    </row>
    <row r="308" spans="1:10" x14ac:dyDescent="0.25">
      <c r="A308" s="84">
        <v>46274</v>
      </c>
      <c r="B308" s="17" t="s">
        <v>519</v>
      </c>
      <c r="C308" s="17"/>
      <c r="D308" s="17" t="s">
        <v>512</v>
      </c>
      <c r="E308" s="17"/>
      <c r="F308" s="17">
        <v>5</v>
      </c>
      <c r="G308" s="76">
        <v>7000</v>
      </c>
      <c r="H308" s="19">
        <f t="shared" si="17"/>
        <v>35000</v>
      </c>
      <c r="I308" s="141"/>
      <c r="J308" s="81"/>
    </row>
    <row r="309" spans="1:10" x14ac:dyDescent="0.25">
      <c r="A309" s="84">
        <v>46274</v>
      </c>
      <c r="B309" s="17" t="s">
        <v>520</v>
      </c>
      <c r="C309" s="17"/>
      <c r="D309" s="17" t="s">
        <v>43</v>
      </c>
      <c r="E309" s="17"/>
      <c r="F309" s="17">
        <v>1</v>
      </c>
      <c r="G309" s="76">
        <v>12000</v>
      </c>
      <c r="H309" s="19">
        <f t="shared" si="17"/>
        <v>12000</v>
      </c>
      <c r="I309" s="141"/>
      <c r="J309" s="81"/>
    </row>
    <row r="310" spans="1:10" x14ac:dyDescent="0.25">
      <c r="A310" s="84">
        <v>46274</v>
      </c>
      <c r="B310" s="17" t="s">
        <v>520</v>
      </c>
      <c r="C310" s="17"/>
      <c r="D310" s="17" t="s">
        <v>292</v>
      </c>
      <c r="E310" s="17"/>
      <c r="F310" s="17">
        <v>1</v>
      </c>
      <c r="G310" s="76">
        <v>8000</v>
      </c>
      <c r="H310" s="19">
        <f t="shared" si="17"/>
        <v>8000</v>
      </c>
      <c r="I310" s="141"/>
      <c r="J310" s="81"/>
    </row>
    <row r="311" spans="1:10" x14ac:dyDescent="0.25">
      <c r="A311" s="84">
        <v>46274</v>
      </c>
      <c r="B311" s="17" t="s">
        <v>520</v>
      </c>
      <c r="C311" s="17"/>
      <c r="D311" s="17" t="s">
        <v>424</v>
      </c>
      <c r="E311" s="17"/>
      <c r="F311" s="17">
        <v>1</v>
      </c>
      <c r="G311" s="76">
        <v>3000</v>
      </c>
      <c r="H311" s="19">
        <f t="shared" si="17"/>
        <v>3000</v>
      </c>
      <c r="I311" s="141"/>
      <c r="J311" s="81"/>
    </row>
    <row r="312" spans="1:10" x14ac:dyDescent="0.25">
      <c r="A312" s="84">
        <v>46274</v>
      </c>
      <c r="B312" s="17" t="s">
        <v>520</v>
      </c>
      <c r="C312" s="17"/>
      <c r="D312" s="17" t="s">
        <v>307</v>
      </c>
      <c r="E312" s="17"/>
      <c r="F312" s="17">
        <v>1</v>
      </c>
      <c r="G312" s="76">
        <v>3000</v>
      </c>
      <c r="H312" s="19">
        <f t="shared" si="17"/>
        <v>3000</v>
      </c>
      <c r="I312" s="141"/>
      <c r="J312" s="81"/>
    </row>
    <row r="313" spans="1:10" x14ac:dyDescent="0.25">
      <c r="A313" s="84">
        <v>46274</v>
      </c>
      <c r="B313" s="17" t="s">
        <v>522</v>
      </c>
      <c r="C313" s="17"/>
      <c r="D313" s="17" t="s">
        <v>392</v>
      </c>
      <c r="E313" s="17"/>
      <c r="F313" s="17">
        <v>1</v>
      </c>
      <c r="G313" s="76">
        <v>3500</v>
      </c>
      <c r="H313" s="19">
        <f t="shared" si="17"/>
        <v>3500</v>
      </c>
      <c r="I313" s="141"/>
      <c r="J313" s="81"/>
    </row>
    <row r="314" spans="1:10" x14ac:dyDescent="0.25">
      <c r="A314" s="84">
        <v>46274</v>
      </c>
      <c r="B314" s="17" t="s">
        <v>522</v>
      </c>
      <c r="C314" s="17"/>
      <c r="D314" s="17" t="s">
        <v>257</v>
      </c>
      <c r="E314" s="17"/>
      <c r="F314" s="17">
        <v>1</v>
      </c>
      <c r="G314" s="76">
        <v>2800</v>
      </c>
      <c r="H314" s="19">
        <f t="shared" si="17"/>
        <v>2800</v>
      </c>
      <c r="I314" s="141"/>
      <c r="J314" s="81"/>
    </row>
    <row r="315" spans="1:10" x14ac:dyDescent="0.25">
      <c r="A315" s="84">
        <v>46274</v>
      </c>
      <c r="B315" s="17" t="s">
        <v>523</v>
      </c>
      <c r="C315" s="17"/>
      <c r="D315" s="17" t="s">
        <v>257</v>
      </c>
      <c r="E315" s="17"/>
      <c r="F315" s="17">
        <v>5</v>
      </c>
      <c r="G315" s="76">
        <v>2500</v>
      </c>
      <c r="H315" s="19">
        <f t="shared" si="17"/>
        <v>12500</v>
      </c>
      <c r="I315" s="141"/>
      <c r="J315" s="81"/>
    </row>
    <row r="316" spans="1:10" ht="15.75" thickBot="1" x14ac:dyDescent="0.3">
      <c r="A316" s="84">
        <v>46274</v>
      </c>
      <c r="B316" s="17" t="s">
        <v>524</v>
      </c>
      <c r="C316" s="17"/>
      <c r="D316" s="17" t="s">
        <v>277</v>
      </c>
      <c r="E316" s="17"/>
      <c r="F316" s="17">
        <v>2</v>
      </c>
      <c r="G316" s="76">
        <v>1500</v>
      </c>
      <c r="H316" s="19">
        <f t="shared" si="17"/>
        <v>3000</v>
      </c>
      <c r="I316" s="147"/>
      <c r="J316" s="81"/>
    </row>
    <row r="317" spans="1:10" x14ac:dyDescent="0.25">
      <c r="A317" s="84">
        <v>46275</v>
      </c>
      <c r="B317" s="17" t="s">
        <v>526</v>
      </c>
      <c r="C317" s="17"/>
      <c r="D317" s="17" t="s">
        <v>277</v>
      </c>
      <c r="E317" s="17"/>
      <c r="F317" s="17">
        <v>3</v>
      </c>
      <c r="G317" s="76">
        <v>1500</v>
      </c>
      <c r="H317" s="19">
        <f t="shared" si="17"/>
        <v>4500</v>
      </c>
      <c r="I317" s="91">
        <f>SUM(H317:H336)</f>
        <v>240300</v>
      </c>
      <c r="J317" s="81"/>
    </row>
    <row r="318" spans="1:10" x14ac:dyDescent="0.25">
      <c r="A318" s="84">
        <v>46275</v>
      </c>
      <c r="B318" s="17" t="s">
        <v>526</v>
      </c>
      <c r="C318" s="17"/>
      <c r="D318" s="17" t="s">
        <v>257</v>
      </c>
      <c r="E318" s="17"/>
      <c r="F318" s="17">
        <v>1</v>
      </c>
      <c r="G318" s="76">
        <v>2500</v>
      </c>
      <c r="H318" s="19">
        <f t="shared" si="17"/>
        <v>2500</v>
      </c>
      <c r="I318" s="91"/>
      <c r="J318" s="81"/>
    </row>
    <row r="319" spans="1:10" x14ac:dyDescent="0.25">
      <c r="A319" s="84">
        <v>46275</v>
      </c>
      <c r="B319" s="17" t="s">
        <v>526</v>
      </c>
      <c r="C319" s="17"/>
      <c r="D319" s="17" t="s">
        <v>45</v>
      </c>
      <c r="E319" s="17"/>
      <c r="F319" s="17">
        <v>1</v>
      </c>
      <c r="G319" s="76">
        <v>6000</v>
      </c>
      <c r="H319" s="19">
        <f t="shared" si="17"/>
        <v>6000</v>
      </c>
      <c r="I319" s="91"/>
      <c r="J319" s="81"/>
    </row>
    <row r="320" spans="1:10" x14ac:dyDescent="0.25">
      <c r="A320" s="84">
        <v>46275</v>
      </c>
      <c r="B320" s="17" t="s">
        <v>382</v>
      </c>
      <c r="C320" s="17"/>
      <c r="D320" s="17" t="s">
        <v>303</v>
      </c>
      <c r="E320" s="17"/>
      <c r="F320" s="17">
        <v>1</v>
      </c>
      <c r="G320" s="76">
        <v>10000</v>
      </c>
      <c r="H320" s="19">
        <f t="shared" si="17"/>
        <v>10000</v>
      </c>
      <c r="I320" s="91"/>
      <c r="J320" s="81"/>
    </row>
    <row r="321" spans="1:10" x14ac:dyDescent="0.25">
      <c r="A321" s="84">
        <v>46275</v>
      </c>
      <c r="B321" s="17" t="s">
        <v>382</v>
      </c>
      <c r="C321" s="17"/>
      <c r="D321" s="17" t="s">
        <v>200</v>
      </c>
      <c r="E321" s="17"/>
      <c r="F321" s="17">
        <v>1</v>
      </c>
      <c r="G321" s="76">
        <v>3000</v>
      </c>
      <c r="H321" s="19">
        <f t="shared" si="17"/>
        <v>3000</v>
      </c>
      <c r="I321" s="91"/>
      <c r="J321" s="81"/>
    </row>
    <row r="322" spans="1:10" x14ac:dyDescent="0.25">
      <c r="A322" s="84">
        <v>46275</v>
      </c>
      <c r="B322" s="17" t="s">
        <v>527</v>
      </c>
      <c r="C322" s="17"/>
      <c r="D322" s="17" t="s">
        <v>375</v>
      </c>
      <c r="E322" s="17"/>
      <c r="F322" s="17">
        <v>1</v>
      </c>
      <c r="G322" s="76">
        <v>10000</v>
      </c>
      <c r="H322" s="19">
        <f t="shared" si="17"/>
        <v>10000</v>
      </c>
      <c r="I322" s="91"/>
      <c r="J322" s="81"/>
    </row>
    <row r="323" spans="1:10" x14ac:dyDescent="0.25">
      <c r="A323" s="84">
        <v>46275</v>
      </c>
      <c r="B323" s="17" t="s">
        <v>527</v>
      </c>
      <c r="C323" s="17"/>
      <c r="D323" s="17" t="s">
        <v>200</v>
      </c>
      <c r="E323" s="17"/>
      <c r="F323" s="17">
        <v>1</v>
      </c>
      <c r="G323" s="76">
        <v>3000</v>
      </c>
      <c r="H323" s="19">
        <f t="shared" si="17"/>
        <v>3000</v>
      </c>
      <c r="I323" s="91"/>
      <c r="J323" s="81"/>
    </row>
    <row r="324" spans="1:10" x14ac:dyDescent="0.25">
      <c r="A324" s="84">
        <v>46275</v>
      </c>
      <c r="B324" s="17" t="s">
        <v>527</v>
      </c>
      <c r="C324" s="17"/>
      <c r="D324" s="17" t="s">
        <v>303</v>
      </c>
      <c r="E324" s="17"/>
      <c r="F324" s="17">
        <v>1</v>
      </c>
      <c r="G324" s="76">
        <v>10000</v>
      </c>
      <c r="H324" s="19">
        <f t="shared" si="17"/>
        <v>10000</v>
      </c>
      <c r="I324" s="91"/>
      <c r="J324" s="81"/>
    </row>
    <row r="325" spans="1:10" x14ac:dyDescent="0.25">
      <c r="A325" s="84">
        <v>46275</v>
      </c>
      <c r="B325" s="17" t="s">
        <v>531</v>
      </c>
      <c r="C325" s="17"/>
      <c r="D325" s="17" t="s">
        <v>400</v>
      </c>
      <c r="E325" s="17"/>
      <c r="F325" s="17">
        <v>1</v>
      </c>
      <c r="G325" s="76">
        <v>12000</v>
      </c>
      <c r="H325" s="19">
        <f t="shared" si="17"/>
        <v>12000</v>
      </c>
      <c r="I325" s="91"/>
      <c r="J325" s="81"/>
    </row>
    <row r="326" spans="1:10" x14ac:dyDescent="0.25">
      <c r="A326" s="84">
        <v>46275</v>
      </c>
      <c r="B326" s="17" t="s">
        <v>531</v>
      </c>
      <c r="C326" s="17"/>
      <c r="D326" s="17" t="s">
        <v>361</v>
      </c>
      <c r="E326" s="17"/>
      <c r="F326" s="17">
        <v>1</v>
      </c>
      <c r="G326" s="76">
        <v>2500</v>
      </c>
      <c r="H326" s="19">
        <f t="shared" si="17"/>
        <v>2500</v>
      </c>
      <c r="I326" s="91"/>
      <c r="J326" s="81"/>
    </row>
    <row r="327" spans="1:10" x14ac:dyDescent="0.25">
      <c r="A327" s="84">
        <v>46275</v>
      </c>
      <c r="B327" s="17" t="s">
        <v>531</v>
      </c>
      <c r="C327" s="17"/>
      <c r="D327" s="17" t="s">
        <v>532</v>
      </c>
      <c r="E327" s="17"/>
      <c r="F327" s="17">
        <v>1</v>
      </c>
      <c r="G327" s="76">
        <v>2800</v>
      </c>
      <c r="H327" s="19">
        <f t="shared" si="17"/>
        <v>2800</v>
      </c>
      <c r="I327" s="91"/>
      <c r="J327" s="81"/>
    </row>
    <row r="328" spans="1:10" x14ac:dyDescent="0.25">
      <c r="A328" s="84">
        <v>46275</v>
      </c>
      <c r="B328" s="17" t="s">
        <v>533</v>
      </c>
      <c r="C328" s="17"/>
      <c r="D328" s="17" t="s">
        <v>449</v>
      </c>
      <c r="E328" s="17"/>
      <c r="F328" s="17">
        <v>1</v>
      </c>
      <c r="G328" s="76">
        <v>32000</v>
      </c>
      <c r="H328" s="19">
        <f t="shared" si="17"/>
        <v>32000</v>
      </c>
      <c r="I328" s="91"/>
      <c r="J328" s="81"/>
    </row>
    <row r="329" spans="1:10" x14ac:dyDescent="0.25">
      <c r="A329" s="84">
        <v>46275</v>
      </c>
      <c r="B329" s="17" t="s">
        <v>533</v>
      </c>
      <c r="C329" s="17"/>
      <c r="D329" s="17" t="s">
        <v>311</v>
      </c>
      <c r="E329" s="17"/>
      <c r="F329" s="17">
        <v>2</v>
      </c>
      <c r="G329" s="76">
        <v>16000</v>
      </c>
      <c r="H329" s="19">
        <f t="shared" si="17"/>
        <v>32000</v>
      </c>
      <c r="I329" s="91"/>
      <c r="J329" s="81"/>
    </row>
    <row r="330" spans="1:10" x14ac:dyDescent="0.25">
      <c r="A330" s="84">
        <v>46275</v>
      </c>
      <c r="B330" s="17" t="s">
        <v>533</v>
      </c>
      <c r="C330" s="17"/>
      <c r="D330" s="17" t="s">
        <v>534</v>
      </c>
      <c r="E330" s="17"/>
      <c r="F330" s="17">
        <v>1</v>
      </c>
      <c r="G330" s="76">
        <v>30000</v>
      </c>
      <c r="H330" s="19">
        <f t="shared" si="17"/>
        <v>30000</v>
      </c>
      <c r="I330" s="91"/>
      <c r="J330" s="81"/>
    </row>
    <row r="331" spans="1:10" x14ac:dyDescent="0.25">
      <c r="A331" s="84">
        <v>46275</v>
      </c>
      <c r="B331" s="17" t="s">
        <v>535</v>
      </c>
      <c r="C331" s="17"/>
      <c r="D331" s="17" t="s">
        <v>424</v>
      </c>
      <c r="E331" s="17"/>
      <c r="F331" s="17">
        <v>1</v>
      </c>
      <c r="G331" s="76">
        <v>3000</v>
      </c>
      <c r="H331" s="19">
        <f t="shared" si="17"/>
        <v>3000</v>
      </c>
      <c r="I331" s="91"/>
      <c r="J331" s="81"/>
    </row>
    <row r="332" spans="1:10" x14ac:dyDescent="0.25">
      <c r="A332" s="84">
        <v>46275</v>
      </c>
      <c r="B332" s="17" t="s">
        <v>536</v>
      </c>
      <c r="C332" s="17"/>
      <c r="D332" s="17" t="s">
        <v>325</v>
      </c>
      <c r="E332" s="17"/>
      <c r="F332" s="17">
        <v>4</v>
      </c>
      <c r="G332" s="76">
        <v>7500</v>
      </c>
      <c r="H332" s="19">
        <f t="shared" si="17"/>
        <v>30000</v>
      </c>
      <c r="I332" s="91"/>
      <c r="J332" s="81"/>
    </row>
    <row r="333" spans="1:10" x14ac:dyDescent="0.25">
      <c r="A333" s="84">
        <v>46275</v>
      </c>
      <c r="B333" s="17" t="s">
        <v>536</v>
      </c>
      <c r="C333" s="17"/>
      <c r="D333" s="17" t="s">
        <v>384</v>
      </c>
      <c r="E333" s="17"/>
      <c r="F333" s="17">
        <v>6</v>
      </c>
      <c r="G333" s="76">
        <v>5000</v>
      </c>
      <c r="H333" s="19">
        <f t="shared" ref="H333:H364" si="18">F333*G333</f>
        <v>30000</v>
      </c>
      <c r="I333" s="91"/>
      <c r="J333" s="81"/>
    </row>
    <row r="334" spans="1:10" x14ac:dyDescent="0.25">
      <c r="A334" s="84">
        <v>46275</v>
      </c>
      <c r="B334" s="17" t="s">
        <v>536</v>
      </c>
      <c r="C334" s="17"/>
      <c r="D334" s="17" t="s">
        <v>171</v>
      </c>
      <c r="E334" s="17"/>
      <c r="F334" s="17">
        <v>2</v>
      </c>
      <c r="G334" s="76">
        <v>6000</v>
      </c>
      <c r="H334" s="19">
        <f t="shared" si="18"/>
        <v>12000</v>
      </c>
      <c r="I334" s="91"/>
      <c r="J334" s="81"/>
    </row>
    <row r="335" spans="1:10" x14ac:dyDescent="0.25">
      <c r="A335" s="84">
        <v>46275</v>
      </c>
      <c r="B335" s="17" t="s">
        <v>536</v>
      </c>
      <c r="C335" s="17"/>
      <c r="D335" s="17" t="s">
        <v>541</v>
      </c>
      <c r="E335" s="17"/>
      <c r="F335" s="17">
        <v>1</v>
      </c>
      <c r="G335" s="76">
        <v>2500</v>
      </c>
      <c r="H335" s="19">
        <f t="shared" si="18"/>
        <v>2500</v>
      </c>
      <c r="I335" s="91"/>
      <c r="J335" s="81"/>
    </row>
    <row r="336" spans="1:10" ht="15.75" thickBot="1" x14ac:dyDescent="0.3">
      <c r="A336" s="84">
        <v>46275</v>
      </c>
      <c r="B336" s="17" t="s">
        <v>536</v>
      </c>
      <c r="C336" s="17"/>
      <c r="D336" s="17" t="s">
        <v>537</v>
      </c>
      <c r="E336" s="17"/>
      <c r="F336" s="17">
        <v>1</v>
      </c>
      <c r="G336" s="76">
        <v>2500</v>
      </c>
      <c r="H336" s="19">
        <f t="shared" si="18"/>
        <v>2500</v>
      </c>
      <c r="I336" s="100"/>
      <c r="J336" s="81"/>
    </row>
    <row r="337" spans="1:10" x14ac:dyDescent="0.25">
      <c r="A337" s="84">
        <v>46276</v>
      </c>
      <c r="B337" s="17" t="s">
        <v>540</v>
      </c>
      <c r="C337" s="17"/>
      <c r="D337" s="17" t="s">
        <v>346</v>
      </c>
      <c r="E337" s="17"/>
      <c r="F337" s="17">
        <v>2</v>
      </c>
      <c r="G337" s="76">
        <v>6000</v>
      </c>
      <c r="H337" s="19">
        <f t="shared" si="18"/>
        <v>12000</v>
      </c>
      <c r="I337" s="91">
        <f>SUM(H337:H364)</f>
        <v>443500</v>
      </c>
      <c r="J337" s="81"/>
    </row>
    <row r="338" spans="1:10" x14ac:dyDescent="0.25">
      <c r="A338" s="84">
        <v>46276</v>
      </c>
      <c r="B338" s="17" t="s">
        <v>540</v>
      </c>
      <c r="C338" s="17"/>
      <c r="D338" s="17" t="s">
        <v>257</v>
      </c>
      <c r="E338" s="17"/>
      <c r="F338" s="17">
        <v>1</v>
      </c>
      <c r="G338" s="76">
        <v>2500</v>
      </c>
      <c r="H338" s="19">
        <f t="shared" si="18"/>
        <v>2500</v>
      </c>
      <c r="I338" s="91"/>
      <c r="J338" s="81"/>
    </row>
    <row r="339" spans="1:10" x14ac:dyDescent="0.25">
      <c r="A339" s="84">
        <v>46276</v>
      </c>
      <c r="B339" s="17" t="s">
        <v>540</v>
      </c>
      <c r="C339" s="17"/>
      <c r="D339" s="17" t="s">
        <v>362</v>
      </c>
      <c r="E339" s="17"/>
      <c r="F339" s="17">
        <v>2</v>
      </c>
      <c r="G339" s="76">
        <v>2500</v>
      </c>
      <c r="H339" s="19">
        <f t="shared" si="18"/>
        <v>5000</v>
      </c>
      <c r="I339" s="91"/>
      <c r="J339" s="81"/>
    </row>
    <row r="340" spans="1:10" x14ac:dyDescent="0.25">
      <c r="A340" s="84">
        <v>46276</v>
      </c>
      <c r="B340" s="17" t="s">
        <v>482</v>
      </c>
      <c r="C340" s="17"/>
      <c r="D340" s="17" t="s">
        <v>427</v>
      </c>
      <c r="E340" s="17"/>
      <c r="F340" s="17">
        <v>1</v>
      </c>
      <c r="G340" s="76">
        <v>10000</v>
      </c>
      <c r="H340" s="19">
        <f t="shared" si="18"/>
        <v>10000</v>
      </c>
      <c r="I340" s="91"/>
      <c r="J340" s="81"/>
    </row>
    <row r="341" spans="1:10" x14ac:dyDescent="0.25">
      <c r="A341" s="84">
        <v>46276</v>
      </c>
      <c r="B341" s="17" t="s">
        <v>482</v>
      </c>
      <c r="C341" s="17"/>
      <c r="D341" s="17" t="s">
        <v>257</v>
      </c>
      <c r="E341" s="17"/>
      <c r="F341" s="17">
        <v>3</v>
      </c>
      <c r="G341" s="76">
        <v>2500</v>
      </c>
      <c r="H341" s="19">
        <f t="shared" si="18"/>
        <v>7500</v>
      </c>
      <c r="I341" s="91"/>
      <c r="J341" s="81"/>
    </row>
    <row r="342" spans="1:10" x14ac:dyDescent="0.25">
      <c r="A342" s="84">
        <v>46276</v>
      </c>
      <c r="B342" s="17" t="s">
        <v>542</v>
      </c>
      <c r="C342" s="17"/>
      <c r="D342" s="17" t="s">
        <v>325</v>
      </c>
      <c r="E342" s="17"/>
      <c r="F342" s="17">
        <v>3</v>
      </c>
      <c r="G342" s="76">
        <v>8000</v>
      </c>
      <c r="H342" s="19">
        <f t="shared" si="18"/>
        <v>24000</v>
      </c>
      <c r="I342" s="91"/>
      <c r="J342" s="81"/>
    </row>
    <row r="343" spans="1:10" x14ac:dyDescent="0.25">
      <c r="A343" s="84">
        <v>46276</v>
      </c>
      <c r="B343" s="17" t="s">
        <v>542</v>
      </c>
      <c r="C343" s="17"/>
      <c r="D343" s="17" t="s">
        <v>292</v>
      </c>
      <c r="E343" s="17"/>
      <c r="F343" s="17">
        <v>1</v>
      </c>
      <c r="G343" s="76">
        <v>8500</v>
      </c>
      <c r="H343" s="19">
        <f t="shared" si="18"/>
        <v>8500</v>
      </c>
      <c r="I343" s="91"/>
      <c r="J343" s="81"/>
    </row>
    <row r="344" spans="1:10" x14ac:dyDescent="0.25">
      <c r="A344" s="84">
        <v>46276</v>
      </c>
      <c r="B344" s="17" t="s">
        <v>542</v>
      </c>
      <c r="C344" s="17"/>
      <c r="D344" s="17" t="s">
        <v>543</v>
      </c>
      <c r="E344" s="17"/>
      <c r="F344" s="17">
        <v>2</v>
      </c>
      <c r="G344" s="76">
        <v>5000</v>
      </c>
      <c r="H344" s="19">
        <f t="shared" si="18"/>
        <v>10000</v>
      </c>
      <c r="I344" s="91"/>
      <c r="J344" s="81"/>
    </row>
    <row r="345" spans="1:10" x14ac:dyDescent="0.25">
      <c r="A345" s="84">
        <v>46276</v>
      </c>
      <c r="B345" s="17" t="s">
        <v>542</v>
      </c>
      <c r="C345" s="17"/>
      <c r="D345" s="17" t="s">
        <v>544</v>
      </c>
      <c r="E345" s="17"/>
      <c r="F345" s="17">
        <v>1</v>
      </c>
      <c r="G345" s="76">
        <v>7000</v>
      </c>
      <c r="H345" s="19">
        <f t="shared" si="18"/>
        <v>7000</v>
      </c>
      <c r="I345" s="91"/>
      <c r="J345" s="81"/>
    </row>
    <row r="346" spans="1:10" x14ac:dyDescent="0.25">
      <c r="A346" s="84">
        <v>46276</v>
      </c>
      <c r="B346" s="17" t="s">
        <v>542</v>
      </c>
      <c r="C346" s="17"/>
      <c r="D346" s="17" t="s">
        <v>545</v>
      </c>
      <c r="E346" s="17"/>
      <c r="F346" s="17">
        <v>1</v>
      </c>
      <c r="G346" s="76">
        <v>9000</v>
      </c>
      <c r="H346" s="19">
        <f t="shared" si="18"/>
        <v>9000</v>
      </c>
      <c r="I346" s="91"/>
      <c r="J346" s="81"/>
    </row>
    <row r="347" spans="1:10" x14ac:dyDescent="0.25">
      <c r="A347" s="84">
        <v>46276</v>
      </c>
      <c r="B347" s="17" t="s">
        <v>382</v>
      </c>
      <c r="C347" s="17"/>
      <c r="D347" s="17" t="s">
        <v>257</v>
      </c>
      <c r="E347" s="17"/>
      <c r="F347" s="17">
        <v>2</v>
      </c>
      <c r="G347" s="76">
        <v>2500</v>
      </c>
      <c r="H347" s="19">
        <f t="shared" si="18"/>
        <v>5000</v>
      </c>
      <c r="I347" s="91"/>
      <c r="J347" s="81"/>
    </row>
    <row r="348" spans="1:10" x14ac:dyDescent="0.25">
      <c r="A348" s="84">
        <v>46276</v>
      </c>
      <c r="B348" s="17" t="s">
        <v>382</v>
      </c>
      <c r="C348" s="17"/>
      <c r="D348" s="17" t="s">
        <v>348</v>
      </c>
      <c r="E348" s="17"/>
      <c r="F348" s="17">
        <v>1</v>
      </c>
      <c r="G348" s="76">
        <v>6500</v>
      </c>
      <c r="H348" s="19">
        <f t="shared" si="18"/>
        <v>6500</v>
      </c>
      <c r="I348" s="91"/>
      <c r="J348" s="81"/>
    </row>
    <row r="349" spans="1:10" x14ac:dyDescent="0.25">
      <c r="A349" s="84">
        <v>46276</v>
      </c>
      <c r="B349" s="17" t="s">
        <v>382</v>
      </c>
      <c r="C349" s="17"/>
      <c r="D349" s="17" t="s">
        <v>171</v>
      </c>
      <c r="E349" s="17"/>
      <c r="F349" s="17">
        <v>2</v>
      </c>
      <c r="G349" s="76">
        <v>6500</v>
      </c>
      <c r="H349" s="19">
        <f t="shared" si="18"/>
        <v>13000</v>
      </c>
      <c r="I349" s="91"/>
      <c r="J349" s="81"/>
    </row>
    <row r="350" spans="1:10" x14ac:dyDescent="0.25">
      <c r="A350" s="84">
        <v>46276</v>
      </c>
      <c r="B350" s="17" t="s">
        <v>382</v>
      </c>
      <c r="C350" s="17"/>
      <c r="D350" s="17" t="s">
        <v>36</v>
      </c>
      <c r="E350" s="17"/>
      <c r="F350" s="17">
        <v>2</v>
      </c>
      <c r="G350" s="76">
        <v>95000</v>
      </c>
      <c r="H350" s="19">
        <f t="shared" si="18"/>
        <v>190000</v>
      </c>
      <c r="I350" s="91"/>
      <c r="J350" s="81"/>
    </row>
    <row r="351" spans="1:10" x14ac:dyDescent="0.25">
      <c r="A351" s="84">
        <v>46276</v>
      </c>
      <c r="B351" s="17" t="s">
        <v>382</v>
      </c>
      <c r="C351" s="17"/>
      <c r="D351" s="17" t="s">
        <v>423</v>
      </c>
      <c r="E351" s="17"/>
      <c r="F351" s="17">
        <v>3</v>
      </c>
      <c r="G351" s="76">
        <v>8000</v>
      </c>
      <c r="H351" s="19">
        <f t="shared" si="18"/>
        <v>24000</v>
      </c>
      <c r="I351" s="91"/>
      <c r="J351" s="81"/>
    </row>
    <row r="352" spans="1:10" x14ac:dyDescent="0.25">
      <c r="A352" s="84">
        <v>46276</v>
      </c>
      <c r="B352" s="17" t="s">
        <v>382</v>
      </c>
      <c r="C352" s="17"/>
      <c r="D352" s="17" t="s">
        <v>196</v>
      </c>
      <c r="E352" s="17"/>
      <c r="F352" s="17">
        <v>1</v>
      </c>
      <c r="G352" s="76">
        <v>14000</v>
      </c>
      <c r="H352" s="19">
        <f t="shared" si="18"/>
        <v>14000</v>
      </c>
      <c r="I352" s="91"/>
      <c r="J352" s="81"/>
    </row>
    <row r="353" spans="1:10" x14ac:dyDescent="0.25">
      <c r="A353" s="84">
        <v>46276</v>
      </c>
      <c r="B353" s="17" t="s">
        <v>382</v>
      </c>
      <c r="C353" s="17"/>
      <c r="D353" s="17" t="s">
        <v>451</v>
      </c>
      <c r="E353" s="17"/>
      <c r="F353" s="17">
        <v>1</v>
      </c>
      <c r="G353" s="76">
        <v>3000</v>
      </c>
      <c r="H353" s="19">
        <f t="shared" si="18"/>
        <v>3000</v>
      </c>
      <c r="I353" s="91"/>
      <c r="J353" s="81"/>
    </row>
    <row r="354" spans="1:10" x14ac:dyDescent="0.25">
      <c r="A354" s="84">
        <v>46276</v>
      </c>
      <c r="B354" s="17" t="s">
        <v>382</v>
      </c>
      <c r="C354" s="17"/>
      <c r="D354" s="17" t="s">
        <v>378</v>
      </c>
      <c r="E354" s="17"/>
      <c r="F354" s="17">
        <v>1</v>
      </c>
      <c r="G354" s="76">
        <v>0</v>
      </c>
      <c r="H354" s="19">
        <f t="shared" si="18"/>
        <v>0</v>
      </c>
      <c r="I354" s="91"/>
      <c r="J354" s="81"/>
    </row>
    <row r="355" spans="1:10" x14ac:dyDescent="0.25">
      <c r="A355" s="84">
        <v>46276</v>
      </c>
      <c r="B355" s="17" t="s">
        <v>398</v>
      </c>
      <c r="C355" s="17"/>
      <c r="D355" s="17" t="s">
        <v>546</v>
      </c>
      <c r="E355" s="17"/>
      <c r="F355" s="17">
        <v>1</v>
      </c>
      <c r="G355" s="76">
        <v>25000</v>
      </c>
      <c r="H355" s="19">
        <f t="shared" si="18"/>
        <v>25000</v>
      </c>
      <c r="I355" s="91"/>
      <c r="J355" s="81"/>
    </row>
    <row r="356" spans="1:10" x14ac:dyDescent="0.25">
      <c r="A356" s="84">
        <v>46276</v>
      </c>
      <c r="B356" s="17" t="s">
        <v>398</v>
      </c>
      <c r="C356" s="17"/>
      <c r="D356" s="17" t="s">
        <v>200</v>
      </c>
      <c r="E356" s="17"/>
      <c r="F356" s="17">
        <v>1</v>
      </c>
      <c r="G356" s="76">
        <v>3000</v>
      </c>
      <c r="H356" s="19">
        <f t="shared" si="18"/>
        <v>3000</v>
      </c>
      <c r="I356" s="91"/>
      <c r="J356" s="81"/>
    </row>
    <row r="357" spans="1:10" x14ac:dyDescent="0.25">
      <c r="A357" s="84">
        <v>46276</v>
      </c>
      <c r="B357" s="17" t="s">
        <v>398</v>
      </c>
      <c r="C357" s="17"/>
      <c r="D357" s="17" t="s">
        <v>376</v>
      </c>
      <c r="E357" s="17"/>
      <c r="F357" s="17">
        <v>1</v>
      </c>
      <c r="G357" s="76">
        <v>6500</v>
      </c>
      <c r="H357" s="19">
        <f t="shared" si="18"/>
        <v>6500</v>
      </c>
      <c r="I357" s="91"/>
      <c r="J357" s="81"/>
    </row>
    <row r="358" spans="1:10" x14ac:dyDescent="0.25">
      <c r="A358" s="84">
        <v>46276</v>
      </c>
      <c r="B358" s="17" t="s">
        <v>398</v>
      </c>
      <c r="C358" s="17"/>
      <c r="D358" s="17" t="s">
        <v>277</v>
      </c>
      <c r="E358" s="17"/>
      <c r="F358" s="17">
        <v>6</v>
      </c>
      <c r="G358" s="76">
        <v>1500</v>
      </c>
      <c r="H358" s="19">
        <f t="shared" si="18"/>
        <v>9000</v>
      </c>
      <c r="I358" s="91"/>
      <c r="J358" s="81"/>
    </row>
    <row r="359" spans="1:10" x14ac:dyDescent="0.25">
      <c r="A359" s="84">
        <v>46276</v>
      </c>
      <c r="B359" s="17" t="s">
        <v>327</v>
      </c>
      <c r="C359" s="17"/>
      <c r="D359" s="17" t="s">
        <v>547</v>
      </c>
      <c r="E359" s="17"/>
      <c r="F359" s="17">
        <v>5</v>
      </c>
      <c r="G359" s="76">
        <v>1500</v>
      </c>
      <c r="H359" s="19">
        <f t="shared" si="18"/>
        <v>7500</v>
      </c>
      <c r="I359" s="91"/>
      <c r="J359" s="81"/>
    </row>
    <row r="360" spans="1:10" x14ac:dyDescent="0.25">
      <c r="A360" s="84">
        <v>46276</v>
      </c>
      <c r="B360" s="17" t="s">
        <v>327</v>
      </c>
      <c r="C360" s="17"/>
      <c r="D360" s="17" t="s">
        <v>439</v>
      </c>
      <c r="E360" s="17"/>
      <c r="F360" s="17">
        <v>2</v>
      </c>
      <c r="G360" s="76">
        <v>6000</v>
      </c>
      <c r="H360" s="19">
        <f t="shared" si="18"/>
        <v>12000</v>
      </c>
      <c r="I360" s="91"/>
      <c r="J360" s="81"/>
    </row>
    <row r="361" spans="1:10" x14ac:dyDescent="0.25">
      <c r="A361" s="84">
        <v>46276</v>
      </c>
      <c r="B361" s="17" t="s">
        <v>327</v>
      </c>
      <c r="C361" s="17"/>
      <c r="D361" s="17" t="s">
        <v>235</v>
      </c>
      <c r="E361" s="17"/>
      <c r="F361" s="17">
        <v>1</v>
      </c>
      <c r="G361" s="76">
        <v>12000</v>
      </c>
      <c r="H361" s="19">
        <f t="shared" si="18"/>
        <v>12000</v>
      </c>
      <c r="I361" s="91"/>
      <c r="J361" s="81"/>
    </row>
    <row r="362" spans="1:10" ht="15.75" thickBot="1" x14ac:dyDescent="0.3">
      <c r="A362" s="84">
        <v>46276</v>
      </c>
      <c r="B362" s="17" t="s">
        <v>327</v>
      </c>
      <c r="C362" s="17"/>
      <c r="D362" s="17" t="s">
        <v>332</v>
      </c>
      <c r="E362" s="17"/>
      <c r="F362" s="17">
        <v>1</v>
      </c>
      <c r="G362" s="76">
        <v>8000</v>
      </c>
      <c r="H362" s="19">
        <f t="shared" si="18"/>
        <v>8000</v>
      </c>
      <c r="I362" s="100"/>
      <c r="J362" s="81"/>
    </row>
    <row r="363" spans="1:10" x14ac:dyDescent="0.25">
      <c r="A363" s="84">
        <v>46278</v>
      </c>
      <c r="B363" s="17" t="s">
        <v>327</v>
      </c>
      <c r="C363" s="17"/>
      <c r="D363" s="17" t="s">
        <v>556</v>
      </c>
      <c r="E363" s="17"/>
      <c r="F363" s="17">
        <v>1</v>
      </c>
      <c r="G363" s="76">
        <v>6500</v>
      </c>
      <c r="H363" s="19">
        <f t="shared" si="18"/>
        <v>6500</v>
      </c>
      <c r="I363" s="91">
        <f>SUM(H363:H379)</f>
        <v>343500</v>
      </c>
      <c r="J363" s="81"/>
    </row>
    <row r="364" spans="1:10" x14ac:dyDescent="0.25">
      <c r="A364" s="84">
        <v>46278</v>
      </c>
      <c r="B364" s="17" t="s">
        <v>327</v>
      </c>
      <c r="C364" s="17"/>
      <c r="D364" s="17" t="s">
        <v>548</v>
      </c>
      <c r="E364" s="17"/>
      <c r="F364" s="17">
        <v>2</v>
      </c>
      <c r="G364" s="76">
        <v>1500</v>
      </c>
      <c r="H364" s="19">
        <f t="shared" si="18"/>
        <v>3000</v>
      </c>
      <c r="I364" s="91"/>
      <c r="J364" s="81"/>
    </row>
    <row r="365" spans="1:10" x14ac:dyDescent="0.25">
      <c r="A365" s="84">
        <v>46278</v>
      </c>
      <c r="B365" s="17" t="s">
        <v>327</v>
      </c>
      <c r="C365" s="17"/>
      <c r="D365" s="17" t="s">
        <v>549</v>
      </c>
      <c r="E365" s="17"/>
      <c r="F365" s="17">
        <v>1</v>
      </c>
      <c r="G365" s="76">
        <v>7500</v>
      </c>
      <c r="H365" s="19">
        <f t="shared" ref="H365:H392" si="19">F365*G365</f>
        <v>7500</v>
      </c>
      <c r="I365" s="91"/>
      <c r="J365" s="81"/>
    </row>
    <row r="366" spans="1:10" x14ac:dyDescent="0.25">
      <c r="A366" s="84">
        <v>46278</v>
      </c>
      <c r="B366" s="17" t="s">
        <v>433</v>
      </c>
      <c r="C366" s="17"/>
      <c r="D366" s="17" t="s">
        <v>365</v>
      </c>
      <c r="E366" s="17"/>
      <c r="F366" s="17">
        <v>1</v>
      </c>
      <c r="G366" s="76">
        <v>8000</v>
      </c>
      <c r="H366" s="19">
        <f t="shared" si="19"/>
        <v>8000</v>
      </c>
      <c r="I366" s="91"/>
      <c r="J366" s="81"/>
    </row>
    <row r="367" spans="1:10" x14ac:dyDescent="0.25">
      <c r="A367" s="84">
        <v>46278</v>
      </c>
      <c r="B367" s="17" t="s">
        <v>550</v>
      </c>
      <c r="C367" s="17"/>
      <c r="D367" s="17" t="s">
        <v>551</v>
      </c>
      <c r="E367" s="17"/>
      <c r="F367" s="17">
        <v>3</v>
      </c>
      <c r="G367" s="76">
        <v>7000</v>
      </c>
      <c r="H367" s="19">
        <f t="shared" si="19"/>
        <v>21000</v>
      </c>
      <c r="I367" s="91"/>
      <c r="J367" s="81"/>
    </row>
    <row r="368" spans="1:10" x14ac:dyDescent="0.25">
      <c r="A368" s="84">
        <v>46278</v>
      </c>
      <c r="B368" s="17" t="s">
        <v>550</v>
      </c>
      <c r="C368" s="17"/>
      <c r="D368" s="17" t="s">
        <v>424</v>
      </c>
      <c r="E368" s="17"/>
      <c r="F368" s="17">
        <v>2</v>
      </c>
      <c r="G368" s="76">
        <v>3000</v>
      </c>
      <c r="H368" s="19">
        <f t="shared" si="19"/>
        <v>6000</v>
      </c>
      <c r="I368" s="91"/>
      <c r="J368" s="81"/>
    </row>
    <row r="369" spans="1:10" x14ac:dyDescent="0.25">
      <c r="A369" s="84">
        <v>46278</v>
      </c>
      <c r="B369" s="17" t="s">
        <v>550</v>
      </c>
      <c r="C369" s="17"/>
      <c r="D369" s="17" t="s">
        <v>171</v>
      </c>
      <c r="E369" s="17"/>
      <c r="F369" s="17">
        <v>5</v>
      </c>
      <c r="G369" s="76">
        <v>6000</v>
      </c>
      <c r="H369" s="19">
        <f t="shared" si="19"/>
        <v>30000</v>
      </c>
      <c r="I369" s="91"/>
      <c r="J369" s="81"/>
    </row>
    <row r="370" spans="1:10" x14ac:dyDescent="0.25">
      <c r="A370" s="84">
        <v>46278</v>
      </c>
      <c r="B370" s="17" t="s">
        <v>553</v>
      </c>
      <c r="C370" s="17"/>
      <c r="D370" s="17" t="s">
        <v>555</v>
      </c>
      <c r="E370" s="17"/>
      <c r="F370" s="17">
        <v>1</v>
      </c>
      <c r="G370" s="76">
        <v>55000</v>
      </c>
      <c r="H370" s="19">
        <f t="shared" si="19"/>
        <v>55000</v>
      </c>
      <c r="I370" s="91"/>
      <c r="J370" s="81"/>
    </row>
    <row r="371" spans="1:10" x14ac:dyDescent="0.25">
      <c r="A371" s="84">
        <v>46278</v>
      </c>
      <c r="B371" s="17" t="s">
        <v>553</v>
      </c>
      <c r="C371" s="17"/>
      <c r="D371" s="17" t="s">
        <v>311</v>
      </c>
      <c r="E371" s="17"/>
      <c r="F371" s="17">
        <v>2</v>
      </c>
      <c r="G371" s="76">
        <v>8000</v>
      </c>
      <c r="H371" s="19">
        <f t="shared" si="19"/>
        <v>16000</v>
      </c>
      <c r="I371" s="91"/>
      <c r="J371" s="81"/>
    </row>
    <row r="372" spans="1:10" x14ac:dyDescent="0.25">
      <c r="A372" s="84">
        <v>46278</v>
      </c>
      <c r="B372" s="17" t="s">
        <v>553</v>
      </c>
      <c r="C372" s="17"/>
      <c r="D372" s="17" t="s">
        <v>554</v>
      </c>
      <c r="E372" s="17"/>
      <c r="F372" s="17">
        <v>4</v>
      </c>
      <c r="G372" s="76">
        <v>7000</v>
      </c>
      <c r="H372" s="19">
        <f t="shared" si="19"/>
        <v>28000</v>
      </c>
      <c r="I372" s="91"/>
      <c r="J372" s="81"/>
    </row>
    <row r="373" spans="1:10" x14ac:dyDescent="0.25">
      <c r="A373" s="84">
        <v>46278</v>
      </c>
      <c r="B373" s="17" t="s">
        <v>382</v>
      </c>
      <c r="C373" s="17"/>
      <c r="D373" s="17" t="s">
        <v>196</v>
      </c>
      <c r="E373" s="17"/>
      <c r="F373" s="17">
        <v>1</v>
      </c>
      <c r="G373" s="76">
        <v>14000</v>
      </c>
      <c r="H373" s="19">
        <f t="shared" si="19"/>
        <v>14000</v>
      </c>
      <c r="I373" s="91"/>
      <c r="J373" s="81"/>
    </row>
    <row r="374" spans="1:10" x14ac:dyDescent="0.25">
      <c r="A374" s="84">
        <v>46278</v>
      </c>
      <c r="B374" s="17" t="s">
        <v>382</v>
      </c>
      <c r="C374" s="17"/>
      <c r="D374" s="17" t="s">
        <v>171</v>
      </c>
      <c r="E374" s="17"/>
      <c r="F374" s="17">
        <v>6</v>
      </c>
      <c r="G374" s="76">
        <v>6000</v>
      </c>
      <c r="H374" s="19">
        <f t="shared" si="19"/>
        <v>36000</v>
      </c>
      <c r="I374" s="91"/>
      <c r="J374" s="81"/>
    </row>
    <row r="375" spans="1:10" x14ac:dyDescent="0.25">
      <c r="A375" s="84">
        <v>46278</v>
      </c>
      <c r="B375" s="17" t="s">
        <v>382</v>
      </c>
      <c r="C375" s="17"/>
      <c r="D375" s="17" t="s">
        <v>361</v>
      </c>
      <c r="E375" s="17"/>
      <c r="F375" s="17">
        <v>1</v>
      </c>
      <c r="G375" s="76">
        <v>2500</v>
      </c>
      <c r="H375" s="19">
        <f t="shared" si="19"/>
        <v>2500</v>
      </c>
      <c r="I375" s="91"/>
      <c r="J375" s="81"/>
    </row>
    <row r="376" spans="1:10" s="99" customFormat="1" ht="15.75" thickBot="1" x14ac:dyDescent="0.3">
      <c r="A376" s="94">
        <v>46278</v>
      </c>
      <c r="B376" s="95" t="s">
        <v>382</v>
      </c>
      <c r="C376" s="95"/>
      <c r="D376" s="95" t="s">
        <v>242</v>
      </c>
      <c r="E376" s="95"/>
      <c r="F376" s="95">
        <v>1</v>
      </c>
      <c r="G376" s="96">
        <v>19000</v>
      </c>
      <c r="H376" s="97">
        <f t="shared" si="19"/>
        <v>19000</v>
      </c>
      <c r="I376" s="102"/>
      <c r="J376" s="98"/>
    </row>
    <row r="377" spans="1:10" x14ac:dyDescent="0.25">
      <c r="A377" s="84">
        <v>46279</v>
      </c>
      <c r="B377" s="85" t="s">
        <v>557</v>
      </c>
      <c r="C377" s="85"/>
      <c r="D377" s="85" t="s">
        <v>558</v>
      </c>
      <c r="E377" s="85"/>
      <c r="F377" s="85">
        <v>1</v>
      </c>
      <c r="G377" s="86">
        <v>25000</v>
      </c>
      <c r="H377" s="87">
        <f t="shared" si="19"/>
        <v>25000</v>
      </c>
      <c r="I377" s="91">
        <f>SUM(H377:H392)</f>
        <v>328000</v>
      </c>
      <c r="J377" s="81"/>
    </row>
    <row r="378" spans="1:10" x14ac:dyDescent="0.25">
      <c r="A378" s="84">
        <v>46279</v>
      </c>
      <c r="B378" s="17" t="s">
        <v>557</v>
      </c>
      <c r="C378" s="17"/>
      <c r="D378" s="17" t="s">
        <v>558</v>
      </c>
      <c r="E378" s="17"/>
      <c r="F378" s="17">
        <v>1</v>
      </c>
      <c r="G378" s="76">
        <v>30000</v>
      </c>
      <c r="H378" s="19">
        <f t="shared" si="19"/>
        <v>30000</v>
      </c>
      <c r="I378" s="91"/>
      <c r="J378" s="81"/>
    </row>
    <row r="379" spans="1:10" x14ac:dyDescent="0.25">
      <c r="A379" s="84">
        <v>46279</v>
      </c>
      <c r="B379" s="17" t="s">
        <v>557</v>
      </c>
      <c r="C379" s="17"/>
      <c r="D379" s="17" t="s">
        <v>171</v>
      </c>
      <c r="E379" s="17"/>
      <c r="F379" s="17">
        <v>6</v>
      </c>
      <c r="G379" s="76">
        <v>6000</v>
      </c>
      <c r="H379" s="19">
        <f t="shared" si="19"/>
        <v>36000</v>
      </c>
      <c r="I379" s="91"/>
      <c r="J379" s="81"/>
    </row>
    <row r="380" spans="1:10" x14ac:dyDescent="0.25">
      <c r="A380" s="84">
        <v>46279</v>
      </c>
      <c r="B380" s="17" t="s">
        <v>559</v>
      </c>
      <c r="C380" s="17"/>
      <c r="D380" s="17" t="s">
        <v>560</v>
      </c>
      <c r="E380" s="17"/>
      <c r="F380" s="17">
        <v>1</v>
      </c>
      <c r="G380" s="76">
        <v>4000</v>
      </c>
      <c r="H380" s="19">
        <f t="shared" si="19"/>
        <v>4000</v>
      </c>
      <c r="I380" s="91"/>
      <c r="J380" s="81"/>
    </row>
    <row r="381" spans="1:10" x14ac:dyDescent="0.25">
      <c r="A381" s="84">
        <v>46279</v>
      </c>
      <c r="B381" s="17" t="s">
        <v>382</v>
      </c>
      <c r="C381" s="17"/>
      <c r="D381" s="17" t="s">
        <v>375</v>
      </c>
      <c r="E381" s="17"/>
      <c r="F381" s="17">
        <v>1</v>
      </c>
      <c r="G381" s="76">
        <v>9000</v>
      </c>
      <c r="H381" s="19">
        <f t="shared" si="19"/>
        <v>9000</v>
      </c>
      <c r="I381" s="91"/>
      <c r="J381" s="81"/>
    </row>
    <row r="382" spans="1:10" x14ac:dyDescent="0.25">
      <c r="A382" s="84">
        <v>46279</v>
      </c>
      <c r="B382" s="17" t="s">
        <v>382</v>
      </c>
      <c r="C382" s="17"/>
      <c r="D382" s="17" t="s">
        <v>513</v>
      </c>
      <c r="E382" s="17"/>
      <c r="F382" s="17">
        <v>1</v>
      </c>
      <c r="G382" s="76">
        <v>8000</v>
      </c>
      <c r="H382" s="19">
        <f t="shared" si="19"/>
        <v>8000</v>
      </c>
      <c r="I382" s="91"/>
      <c r="J382" s="81"/>
    </row>
    <row r="383" spans="1:10" x14ac:dyDescent="0.25">
      <c r="A383" s="84">
        <v>46279</v>
      </c>
      <c r="B383" s="17" t="s">
        <v>382</v>
      </c>
      <c r="C383" s="17"/>
      <c r="D383" s="17" t="s">
        <v>98</v>
      </c>
      <c r="E383" s="17"/>
      <c r="F383" s="17">
        <v>2</v>
      </c>
      <c r="G383" s="76">
        <v>3000</v>
      </c>
      <c r="H383" s="19">
        <f t="shared" si="19"/>
        <v>6000</v>
      </c>
      <c r="I383" s="91"/>
      <c r="J383" s="81"/>
    </row>
    <row r="384" spans="1:10" x14ac:dyDescent="0.25">
      <c r="A384" s="84">
        <v>46279</v>
      </c>
      <c r="B384" s="17" t="s">
        <v>561</v>
      </c>
      <c r="C384" s="17"/>
      <c r="D384" s="17" t="s">
        <v>325</v>
      </c>
      <c r="E384" s="17"/>
      <c r="F384" s="17">
        <v>8</v>
      </c>
      <c r="G384" s="76">
        <v>7000</v>
      </c>
      <c r="H384" s="19">
        <f t="shared" si="19"/>
        <v>56000</v>
      </c>
      <c r="I384" s="91"/>
      <c r="J384" s="81"/>
    </row>
    <row r="385" spans="1:10" x14ac:dyDescent="0.25">
      <c r="A385" s="84">
        <v>46279</v>
      </c>
      <c r="B385" s="17" t="s">
        <v>561</v>
      </c>
      <c r="C385" s="17"/>
      <c r="D385" s="17" t="s">
        <v>325</v>
      </c>
      <c r="E385" s="17"/>
      <c r="F385" s="17">
        <v>2</v>
      </c>
      <c r="G385" s="76">
        <v>7000</v>
      </c>
      <c r="H385" s="19">
        <f t="shared" si="19"/>
        <v>14000</v>
      </c>
      <c r="I385" s="91"/>
      <c r="J385" s="81"/>
    </row>
    <row r="386" spans="1:10" x14ac:dyDescent="0.25">
      <c r="A386" s="84">
        <v>46279</v>
      </c>
      <c r="B386" s="17" t="s">
        <v>382</v>
      </c>
      <c r="C386" s="17"/>
      <c r="D386" s="17" t="s">
        <v>219</v>
      </c>
      <c r="E386" s="17"/>
      <c r="F386" s="17">
        <v>1</v>
      </c>
      <c r="G386" s="76">
        <v>10000</v>
      </c>
      <c r="H386" s="19">
        <f t="shared" si="19"/>
        <v>10000</v>
      </c>
      <c r="I386" s="91"/>
      <c r="J386" s="81"/>
    </row>
    <row r="387" spans="1:10" x14ac:dyDescent="0.25">
      <c r="A387" s="84">
        <v>46279</v>
      </c>
      <c r="B387" s="17" t="s">
        <v>382</v>
      </c>
      <c r="C387" s="17"/>
      <c r="D387" s="17" t="s">
        <v>417</v>
      </c>
      <c r="E387" s="17"/>
      <c r="F387" s="17">
        <v>1</v>
      </c>
      <c r="G387" s="76">
        <v>7000</v>
      </c>
      <c r="H387" s="19">
        <f t="shared" si="19"/>
        <v>7000</v>
      </c>
      <c r="I387" s="91"/>
      <c r="J387" s="81"/>
    </row>
    <row r="388" spans="1:10" x14ac:dyDescent="0.25">
      <c r="A388" s="84">
        <v>46279</v>
      </c>
      <c r="B388" s="17" t="s">
        <v>566</v>
      </c>
      <c r="C388" s="17"/>
      <c r="D388" s="17" t="s">
        <v>543</v>
      </c>
      <c r="E388" s="17"/>
      <c r="F388" s="17">
        <v>6</v>
      </c>
      <c r="G388" s="76">
        <v>5000</v>
      </c>
      <c r="H388" s="19">
        <f t="shared" si="19"/>
        <v>30000</v>
      </c>
      <c r="I388" s="91"/>
      <c r="J388" s="81"/>
    </row>
    <row r="389" spans="1:10" x14ac:dyDescent="0.25">
      <c r="A389" s="84">
        <v>46279</v>
      </c>
      <c r="B389" s="17" t="s">
        <v>566</v>
      </c>
      <c r="C389" s="17"/>
      <c r="D389" s="17" t="s">
        <v>567</v>
      </c>
      <c r="E389" s="17"/>
      <c r="F389" s="17">
        <v>1</v>
      </c>
      <c r="G389" s="76">
        <v>8000</v>
      </c>
      <c r="H389" s="19">
        <f t="shared" si="19"/>
        <v>8000</v>
      </c>
      <c r="I389" s="91"/>
      <c r="J389" s="81"/>
    </row>
    <row r="390" spans="1:10" x14ac:dyDescent="0.25">
      <c r="A390" s="84">
        <v>46279</v>
      </c>
      <c r="B390" s="17" t="s">
        <v>382</v>
      </c>
      <c r="C390" s="17"/>
      <c r="D390" s="17" t="s">
        <v>141</v>
      </c>
      <c r="E390" s="17"/>
      <c r="F390" s="17">
        <v>1</v>
      </c>
      <c r="G390" s="76">
        <v>50000</v>
      </c>
      <c r="H390" s="19">
        <f t="shared" si="19"/>
        <v>50000</v>
      </c>
      <c r="I390" s="91"/>
      <c r="J390" s="81"/>
    </row>
    <row r="391" spans="1:10" x14ac:dyDescent="0.25">
      <c r="A391" s="84">
        <v>46279</v>
      </c>
      <c r="B391" s="17" t="s">
        <v>415</v>
      </c>
      <c r="C391" s="17"/>
      <c r="D391" s="17" t="s">
        <v>104</v>
      </c>
      <c r="E391" s="17"/>
      <c r="F391" s="17">
        <v>1</v>
      </c>
      <c r="G391" s="76">
        <v>10000</v>
      </c>
      <c r="H391" s="19">
        <f t="shared" si="19"/>
        <v>10000</v>
      </c>
      <c r="I391" s="91"/>
      <c r="J391" s="81"/>
    </row>
    <row r="392" spans="1:10" s="99" customFormat="1" ht="15.75" thickBot="1" x14ac:dyDescent="0.3">
      <c r="A392" s="94">
        <v>46279</v>
      </c>
      <c r="B392" s="95" t="s">
        <v>415</v>
      </c>
      <c r="C392" s="95"/>
      <c r="D392" s="95" t="s">
        <v>41</v>
      </c>
      <c r="E392" s="95"/>
      <c r="F392" s="95">
        <v>1</v>
      </c>
      <c r="G392" s="96">
        <v>25000</v>
      </c>
      <c r="H392" s="97">
        <f t="shared" si="19"/>
        <v>25000</v>
      </c>
      <c r="I392" s="100"/>
      <c r="J392" s="98"/>
    </row>
    <row r="393" spans="1:10" x14ac:dyDescent="0.25">
      <c r="A393" s="84">
        <v>46281</v>
      </c>
      <c r="B393" s="85" t="s">
        <v>568</v>
      </c>
      <c r="C393" s="85"/>
      <c r="D393" s="85" t="s">
        <v>242</v>
      </c>
      <c r="E393" s="85"/>
      <c r="F393" s="85">
        <v>1</v>
      </c>
      <c r="G393" s="86">
        <v>19000</v>
      </c>
      <c r="H393" s="87">
        <f t="shared" ref="H393:H421" si="20">F393*G393</f>
        <v>19000</v>
      </c>
      <c r="I393" s="91">
        <f>+H393+H394</f>
        <v>43000</v>
      </c>
      <c r="J393" s="81"/>
    </row>
    <row r="394" spans="1:10" s="99" customFormat="1" ht="15.75" thickBot="1" x14ac:dyDescent="0.3">
      <c r="A394" s="94">
        <v>46281</v>
      </c>
      <c r="B394" s="95" t="s">
        <v>568</v>
      </c>
      <c r="C394" s="95"/>
      <c r="D394" s="95" t="s">
        <v>569</v>
      </c>
      <c r="E394" s="95"/>
      <c r="F394" s="95">
        <v>2</v>
      </c>
      <c r="G394" s="96">
        <v>12000</v>
      </c>
      <c r="H394" s="97">
        <f t="shared" si="20"/>
        <v>24000</v>
      </c>
      <c r="I394" s="102"/>
      <c r="J394" s="98"/>
    </row>
    <row r="395" spans="1:10" x14ac:dyDescent="0.25">
      <c r="A395" s="84">
        <v>46282</v>
      </c>
      <c r="B395" s="85" t="s">
        <v>285</v>
      </c>
      <c r="C395" s="85"/>
      <c r="D395" s="85" t="s">
        <v>577</v>
      </c>
      <c r="E395" s="85"/>
      <c r="F395" s="85">
        <v>3</v>
      </c>
      <c r="G395" s="86">
        <v>4500</v>
      </c>
      <c r="H395" s="87">
        <f t="shared" si="20"/>
        <v>13500</v>
      </c>
      <c r="I395" s="91">
        <f>SUM(H395:H424)</f>
        <v>326000</v>
      </c>
      <c r="J395" s="81"/>
    </row>
    <row r="396" spans="1:10" x14ac:dyDescent="0.25">
      <c r="A396" s="84">
        <v>46282</v>
      </c>
      <c r="B396" s="17" t="s">
        <v>580</v>
      </c>
      <c r="C396" s="17"/>
      <c r="D396" s="17" t="s">
        <v>579</v>
      </c>
      <c r="E396" s="17"/>
      <c r="F396" s="17">
        <v>1</v>
      </c>
      <c r="G396" s="76">
        <v>3500</v>
      </c>
      <c r="H396" s="19">
        <f t="shared" si="20"/>
        <v>3500</v>
      </c>
      <c r="I396" s="91"/>
      <c r="J396" s="81"/>
    </row>
    <row r="397" spans="1:10" x14ac:dyDescent="0.25">
      <c r="A397" s="84">
        <v>46282</v>
      </c>
      <c r="B397" s="17" t="s">
        <v>581</v>
      </c>
      <c r="C397" s="17"/>
      <c r="D397" s="17" t="s">
        <v>346</v>
      </c>
      <c r="E397" s="17"/>
      <c r="F397" s="17">
        <v>1</v>
      </c>
      <c r="G397" s="76">
        <v>6000</v>
      </c>
      <c r="H397" s="19">
        <f t="shared" si="20"/>
        <v>6000</v>
      </c>
      <c r="I397" s="91"/>
      <c r="J397" s="81"/>
    </row>
    <row r="398" spans="1:10" x14ac:dyDescent="0.25">
      <c r="A398" s="84">
        <v>46282</v>
      </c>
      <c r="B398" s="17" t="s">
        <v>581</v>
      </c>
      <c r="C398" s="17"/>
      <c r="D398" s="17" t="s">
        <v>504</v>
      </c>
      <c r="E398" s="17"/>
      <c r="F398" s="17">
        <v>1</v>
      </c>
      <c r="G398" s="76">
        <v>7000</v>
      </c>
      <c r="H398" s="19">
        <f t="shared" si="20"/>
        <v>7000</v>
      </c>
      <c r="I398" s="91"/>
      <c r="J398" s="81"/>
    </row>
    <row r="399" spans="1:10" x14ac:dyDescent="0.25">
      <c r="A399" s="84">
        <v>46282</v>
      </c>
      <c r="B399" s="17" t="s">
        <v>581</v>
      </c>
      <c r="C399" s="17"/>
      <c r="D399" s="17" t="s">
        <v>339</v>
      </c>
      <c r="E399" s="17"/>
      <c r="F399" s="17">
        <v>1</v>
      </c>
      <c r="G399" s="76">
        <v>3500</v>
      </c>
      <c r="H399" s="19">
        <f t="shared" si="20"/>
        <v>3500</v>
      </c>
      <c r="I399" s="91"/>
      <c r="J399" s="81"/>
    </row>
    <row r="400" spans="1:10" x14ac:dyDescent="0.25">
      <c r="A400" s="84">
        <v>46282</v>
      </c>
      <c r="B400" s="17" t="s">
        <v>473</v>
      </c>
      <c r="C400" s="17"/>
      <c r="D400" s="17" t="s">
        <v>582</v>
      </c>
      <c r="E400" s="17"/>
      <c r="F400" s="17">
        <v>1</v>
      </c>
      <c r="G400" s="76">
        <v>3000</v>
      </c>
      <c r="H400" s="19">
        <f t="shared" si="20"/>
        <v>3000</v>
      </c>
      <c r="I400" s="91"/>
      <c r="J400" s="81"/>
    </row>
    <row r="401" spans="1:10" x14ac:dyDescent="0.25">
      <c r="A401" s="84">
        <v>46282</v>
      </c>
      <c r="B401" s="17" t="s">
        <v>382</v>
      </c>
      <c r="C401" s="17"/>
      <c r="D401" s="17" t="s">
        <v>583</v>
      </c>
      <c r="E401" s="17"/>
      <c r="F401" s="17">
        <v>1</v>
      </c>
      <c r="G401" s="76">
        <v>4000</v>
      </c>
      <c r="H401" s="19">
        <f t="shared" si="20"/>
        <v>4000</v>
      </c>
      <c r="I401" s="91"/>
      <c r="J401" s="81"/>
    </row>
    <row r="402" spans="1:10" x14ac:dyDescent="0.25">
      <c r="A402" s="84">
        <v>46282</v>
      </c>
      <c r="B402" s="17" t="s">
        <v>584</v>
      </c>
      <c r="C402" s="17"/>
      <c r="D402" s="17" t="s">
        <v>423</v>
      </c>
      <c r="E402" s="17"/>
      <c r="F402" s="17">
        <v>2</v>
      </c>
      <c r="G402" s="76">
        <v>8500</v>
      </c>
      <c r="H402" s="19">
        <f t="shared" si="20"/>
        <v>17000</v>
      </c>
      <c r="I402" s="91"/>
      <c r="J402" s="81"/>
    </row>
    <row r="403" spans="1:10" x14ac:dyDescent="0.25">
      <c r="A403" s="84">
        <v>46282</v>
      </c>
      <c r="B403" s="17" t="s">
        <v>585</v>
      </c>
      <c r="C403" s="17"/>
      <c r="D403" s="17" t="s">
        <v>613</v>
      </c>
      <c r="E403" s="17"/>
      <c r="F403" s="17">
        <v>2</v>
      </c>
      <c r="G403" s="76">
        <v>25000</v>
      </c>
      <c r="H403" s="19">
        <f t="shared" si="20"/>
        <v>50000</v>
      </c>
      <c r="I403" s="91"/>
      <c r="J403" s="81"/>
    </row>
    <row r="404" spans="1:10" x14ac:dyDescent="0.25">
      <c r="A404" s="84">
        <v>46282</v>
      </c>
      <c r="B404" s="17" t="s">
        <v>585</v>
      </c>
      <c r="C404" s="17"/>
      <c r="D404" s="17" t="s">
        <v>577</v>
      </c>
      <c r="E404" s="17"/>
      <c r="F404" s="17">
        <v>1</v>
      </c>
      <c r="G404" s="76">
        <v>4500</v>
      </c>
      <c r="H404" s="19">
        <f t="shared" si="20"/>
        <v>4500</v>
      </c>
      <c r="I404" s="91"/>
      <c r="J404" s="81"/>
    </row>
    <row r="405" spans="1:10" x14ac:dyDescent="0.25">
      <c r="A405" s="84">
        <v>46282</v>
      </c>
      <c r="B405" s="17" t="s">
        <v>586</v>
      </c>
      <c r="C405" s="17"/>
      <c r="D405" s="17" t="s">
        <v>389</v>
      </c>
      <c r="E405" s="17"/>
      <c r="F405" s="17">
        <v>2</v>
      </c>
      <c r="G405" s="76">
        <v>9000</v>
      </c>
      <c r="H405" s="19">
        <f t="shared" si="20"/>
        <v>18000</v>
      </c>
      <c r="I405" s="91"/>
      <c r="J405" s="81"/>
    </row>
    <row r="406" spans="1:10" x14ac:dyDescent="0.25">
      <c r="A406" s="84">
        <v>46282</v>
      </c>
      <c r="B406" s="17" t="s">
        <v>586</v>
      </c>
      <c r="C406" s="17"/>
      <c r="D406" s="17" t="s">
        <v>257</v>
      </c>
      <c r="E406" s="17"/>
      <c r="F406" s="17">
        <v>1</v>
      </c>
      <c r="G406" s="76">
        <v>2000</v>
      </c>
      <c r="H406" s="19">
        <f t="shared" si="20"/>
        <v>2000</v>
      </c>
      <c r="I406" s="91"/>
      <c r="J406" s="81"/>
    </row>
    <row r="407" spans="1:10" x14ac:dyDescent="0.25">
      <c r="A407" s="84">
        <v>46282</v>
      </c>
      <c r="B407" s="17" t="s">
        <v>614</v>
      </c>
      <c r="C407" s="17"/>
      <c r="D407" s="17" t="s">
        <v>577</v>
      </c>
      <c r="E407" s="17"/>
      <c r="F407" s="17">
        <v>1</v>
      </c>
      <c r="G407" s="76">
        <v>4500</v>
      </c>
      <c r="H407" s="19">
        <f t="shared" si="20"/>
        <v>4500</v>
      </c>
      <c r="I407" s="91"/>
      <c r="J407" s="81"/>
    </row>
    <row r="408" spans="1:10" x14ac:dyDescent="0.25">
      <c r="A408" s="84">
        <v>46282</v>
      </c>
      <c r="B408" s="17" t="s">
        <v>614</v>
      </c>
      <c r="C408" s="17"/>
      <c r="D408" s="17" t="s">
        <v>587</v>
      </c>
      <c r="E408" s="17"/>
      <c r="F408" s="17">
        <v>1</v>
      </c>
      <c r="G408" s="76">
        <v>30000</v>
      </c>
      <c r="H408" s="19">
        <f t="shared" si="20"/>
        <v>30000</v>
      </c>
      <c r="I408" s="91"/>
      <c r="J408" s="81"/>
    </row>
    <row r="409" spans="1:10" x14ac:dyDescent="0.25">
      <c r="A409" s="84">
        <v>46282</v>
      </c>
      <c r="B409" s="17" t="s">
        <v>398</v>
      </c>
      <c r="C409" s="17"/>
      <c r="D409" s="17" t="s">
        <v>588</v>
      </c>
      <c r="E409" s="17"/>
      <c r="F409" s="17">
        <v>1</v>
      </c>
      <c r="G409" s="76">
        <v>16000</v>
      </c>
      <c r="H409" s="19">
        <f t="shared" si="20"/>
        <v>16000</v>
      </c>
      <c r="I409" s="91"/>
      <c r="J409" s="81"/>
    </row>
    <row r="410" spans="1:10" x14ac:dyDescent="0.25">
      <c r="A410" s="84">
        <v>46282</v>
      </c>
      <c r="B410" s="17" t="s">
        <v>327</v>
      </c>
      <c r="C410" s="17"/>
      <c r="D410" s="17" t="s">
        <v>544</v>
      </c>
      <c r="E410" s="17"/>
      <c r="F410" s="17">
        <v>2</v>
      </c>
      <c r="G410" s="76">
        <v>7000</v>
      </c>
      <c r="H410" s="19">
        <f t="shared" si="20"/>
        <v>14000</v>
      </c>
      <c r="I410" s="91"/>
      <c r="J410" s="81"/>
    </row>
    <row r="411" spans="1:10" x14ac:dyDescent="0.25">
      <c r="A411" s="84">
        <v>46282</v>
      </c>
      <c r="B411" s="17" t="s">
        <v>327</v>
      </c>
      <c r="C411" s="17"/>
      <c r="D411" s="17" t="s">
        <v>389</v>
      </c>
      <c r="E411" s="17"/>
      <c r="F411" s="17">
        <v>1</v>
      </c>
      <c r="G411" s="76">
        <v>9000</v>
      </c>
      <c r="H411" s="19">
        <f t="shared" si="20"/>
        <v>9000</v>
      </c>
      <c r="I411" s="91"/>
      <c r="J411" s="81"/>
    </row>
    <row r="412" spans="1:10" x14ac:dyDescent="0.25">
      <c r="A412" s="84">
        <v>46282</v>
      </c>
      <c r="B412" s="17" t="s">
        <v>327</v>
      </c>
      <c r="C412" s="17"/>
      <c r="D412" s="17" t="s">
        <v>736</v>
      </c>
      <c r="E412" s="17"/>
      <c r="F412" s="17">
        <v>1</v>
      </c>
      <c r="G412" s="76">
        <v>15000</v>
      </c>
      <c r="H412" s="19">
        <f t="shared" si="20"/>
        <v>15000</v>
      </c>
      <c r="I412" s="91"/>
      <c r="J412" s="81"/>
    </row>
    <row r="413" spans="1:10" x14ac:dyDescent="0.25">
      <c r="A413" s="84">
        <v>46282</v>
      </c>
      <c r="B413" s="17" t="s">
        <v>589</v>
      </c>
      <c r="C413" s="17"/>
      <c r="D413" s="17" t="s">
        <v>362</v>
      </c>
      <c r="E413" s="17"/>
      <c r="F413" s="17">
        <v>2</v>
      </c>
      <c r="G413" s="76">
        <v>2500</v>
      </c>
      <c r="H413" s="19">
        <f t="shared" si="20"/>
        <v>5000</v>
      </c>
      <c r="I413" s="91"/>
      <c r="J413" s="81"/>
    </row>
    <row r="414" spans="1:10" x14ac:dyDescent="0.25">
      <c r="A414" s="84">
        <v>46282</v>
      </c>
      <c r="B414" s="17" t="s">
        <v>591</v>
      </c>
      <c r="C414" s="17"/>
      <c r="D414" s="17" t="s">
        <v>423</v>
      </c>
      <c r="E414" s="17"/>
      <c r="F414" s="17">
        <v>3</v>
      </c>
      <c r="G414" s="76">
        <v>9000</v>
      </c>
      <c r="H414" s="19">
        <f t="shared" si="20"/>
        <v>27000</v>
      </c>
      <c r="I414" s="91"/>
      <c r="J414" s="81"/>
    </row>
    <row r="415" spans="1:10" x14ac:dyDescent="0.25">
      <c r="A415" s="84">
        <v>46282</v>
      </c>
      <c r="B415" s="17" t="s">
        <v>591</v>
      </c>
      <c r="C415" s="17"/>
      <c r="D415" s="17" t="s">
        <v>592</v>
      </c>
      <c r="E415" s="17"/>
      <c r="F415" s="17">
        <v>1</v>
      </c>
      <c r="G415" s="76">
        <v>3000</v>
      </c>
      <c r="H415" s="19">
        <f t="shared" si="20"/>
        <v>3000</v>
      </c>
      <c r="I415" s="91"/>
      <c r="J415" s="81"/>
    </row>
    <row r="416" spans="1:10" x14ac:dyDescent="0.25">
      <c r="A416" s="84">
        <v>46282</v>
      </c>
      <c r="B416" s="17" t="s">
        <v>615</v>
      </c>
      <c r="C416" s="17"/>
      <c r="D416" s="17" t="s">
        <v>594</v>
      </c>
      <c r="E416" s="17"/>
      <c r="F416" s="17">
        <v>1</v>
      </c>
      <c r="G416" s="76">
        <v>4500</v>
      </c>
      <c r="H416" s="19">
        <f t="shared" si="20"/>
        <v>4500</v>
      </c>
      <c r="I416" s="91"/>
      <c r="J416" s="81"/>
    </row>
    <row r="417" spans="1:10" x14ac:dyDescent="0.25">
      <c r="A417" s="84">
        <v>46282</v>
      </c>
      <c r="B417" s="17" t="s">
        <v>615</v>
      </c>
      <c r="C417" s="17"/>
      <c r="D417" s="17" t="s">
        <v>593</v>
      </c>
      <c r="E417" s="17"/>
      <c r="F417" s="17">
        <v>1</v>
      </c>
      <c r="G417" s="76">
        <v>10000</v>
      </c>
      <c r="H417" s="19">
        <f t="shared" si="20"/>
        <v>10000</v>
      </c>
      <c r="I417" s="91"/>
      <c r="J417" s="81"/>
    </row>
    <row r="418" spans="1:10" x14ac:dyDescent="0.25">
      <c r="A418" s="84">
        <v>46282</v>
      </c>
      <c r="B418" s="17" t="s">
        <v>482</v>
      </c>
      <c r="C418" s="17"/>
      <c r="D418" s="17" t="s">
        <v>556</v>
      </c>
      <c r="E418" s="17"/>
      <c r="F418" s="17">
        <v>1</v>
      </c>
      <c r="G418" s="76">
        <v>6000</v>
      </c>
      <c r="H418" s="19">
        <f t="shared" si="20"/>
        <v>6000</v>
      </c>
      <c r="I418" s="91"/>
      <c r="J418" s="81"/>
    </row>
    <row r="419" spans="1:10" x14ac:dyDescent="0.25">
      <c r="A419" s="84">
        <v>46282</v>
      </c>
      <c r="B419" s="17" t="s">
        <v>482</v>
      </c>
      <c r="C419" s="17"/>
      <c r="D419" s="17" t="s">
        <v>396</v>
      </c>
      <c r="E419" s="17"/>
      <c r="F419" s="17">
        <v>1</v>
      </c>
      <c r="G419" s="76">
        <v>12000</v>
      </c>
      <c r="H419" s="19">
        <f t="shared" si="20"/>
        <v>12000</v>
      </c>
      <c r="I419" s="91"/>
      <c r="J419" s="81"/>
    </row>
    <row r="420" spans="1:10" x14ac:dyDescent="0.25">
      <c r="A420" s="84">
        <v>46282</v>
      </c>
      <c r="B420" s="17" t="s">
        <v>482</v>
      </c>
      <c r="C420" s="17"/>
      <c r="D420" s="17" t="s">
        <v>211</v>
      </c>
      <c r="E420" s="17"/>
      <c r="F420" s="17">
        <v>1</v>
      </c>
      <c r="G420" s="76">
        <v>9000</v>
      </c>
      <c r="H420" s="19">
        <f t="shared" si="20"/>
        <v>9000</v>
      </c>
      <c r="I420" s="91"/>
      <c r="J420" s="81"/>
    </row>
    <row r="421" spans="1:10" x14ac:dyDescent="0.25">
      <c r="A421" s="84">
        <v>46282</v>
      </c>
      <c r="B421" s="17" t="s">
        <v>482</v>
      </c>
      <c r="C421" s="17"/>
      <c r="D421" s="17" t="s">
        <v>599</v>
      </c>
      <c r="E421" s="17"/>
      <c r="F421" s="17">
        <v>1</v>
      </c>
      <c r="G421" s="76">
        <v>10000</v>
      </c>
      <c r="H421" s="19">
        <f t="shared" si="20"/>
        <v>10000</v>
      </c>
      <c r="I421" s="91"/>
      <c r="J421" s="81"/>
    </row>
    <row r="422" spans="1:10" x14ac:dyDescent="0.25">
      <c r="A422" s="84">
        <v>46282</v>
      </c>
      <c r="B422" s="17" t="s">
        <v>595</v>
      </c>
      <c r="C422" s="17"/>
      <c r="D422" s="17" t="s">
        <v>598</v>
      </c>
      <c r="E422" s="17"/>
      <c r="F422" s="17">
        <v>1</v>
      </c>
      <c r="G422" s="76">
        <v>5500</v>
      </c>
      <c r="H422" s="19">
        <f t="shared" ref="H422:H436" si="21">F422*G422</f>
        <v>5500</v>
      </c>
      <c r="I422" s="91"/>
      <c r="J422" s="81"/>
    </row>
    <row r="423" spans="1:10" x14ac:dyDescent="0.25">
      <c r="A423" s="84">
        <v>46282</v>
      </c>
      <c r="B423" s="17" t="s">
        <v>616</v>
      </c>
      <c r="C423" s="17"/>
      <c r="D423" s="17" t="s">
        <v>599</v>
      </c>
      <c r="E423" s="17"/>
      <c r="F423" s="17">
        <v>2</v>
      </c>
      <c r="G423" s="76">
        <v>5000</v>
      </c>
      <c r="H423" s="19">
        <f t="shared" si="21"/>
        <v>10000</v>
      </c>
      <c r="I423" s="91"/>
      <c r="J423" s="81"/>
    </row>
    <row r="424" spans="1:10" s="99" customFormat="1" ht="15.75" thickBot="1" x14ac:dyDescent="0.3">
      <c r="A424" s="94">
        <v>46282</v>
      </c>
      <c r="B424" s="95" t="s">
        <v>616</v>
      </c>
      <c r="C424" s="95"/>
      <c r="D424" s="95" t="s">
        <v>451</v>
      </c>
      <c r="E424" s="95"/>
      <c r="F424" s="95">
        <v>1</v>
      </c>
      <c r="G424" s="96">
        <v>3500</v>
      </c>
      <c r="H424" s="97">
        <f t="shared" si="21"/>
        <v>3500</v>
      </c>
      <c r="I424" s="102"/>
      <c r="J424" s="98"/>
    </row>
    <row r="425" spans="1:10" x14ac:dyDescent="0.25">
      <c r="A425" s="84">
        <v>46283</v>
      </c>
      <c r="B425" s="85" t="s">
        <v>382</v>
      </c>
      <c r="C425" s="85"/>
      <c r="D425" s="85" t="s">
        <v>593</v>
      </c>
      <c r="E425" s="85"/>
      <c r="F425" s="85">
        <v>1</v>
      </c>
      <c r="G425" s="86">
        <v>10000</v>
      </c>
      <c r="H425" s="87">
        <f t="shared" si="21"/>
        <v>10000</v>
      </c>
      <c r="I425" s="91">
        <f>SUM(H425:H438)</f>
        <v>99500</v>
      </c>
      <c r="J425" s="81"/>
    </row>
    <row r="426" spans="1:10" x14ac:dyDescent="0.25">
      <c r="A426" s="84">
        <v>46283</v>
      </c>
      <c r="B426" s="85" t="s">
        <v>444</v>
      </c>
      <c r="C426" s="17"/>
      <c r="D426" s="17" t="s">
        <v>577</v>
      </c>
      <c r="E426" s="17"/>
      <c r="F426" s="17">
        <v>1</v>
      </c>
      <c r="G426" s="76">
        <v>4500</v>
      </c>
      <c r="H426" s="19">
        <f t="shared" si="21"/>
        <v>4500</v>
      </c>
      <c r="I426" s="91"/>
      <c r="J426" s="81"/>
    </row>
    <row r="427" spans="1:10" x14ac:dyDescent="0.25">
      <c r="A427" s="84">
        <v>46283</v>
      </c>
      <c r="B427" s="17" t="s">
        <v>402</v>
      </c>
      <c r="C427" s="17"/>
      <c r="D427" s="17" t="s">
        <v>617</v>
      </c>
      <c r="E427" s="17"/>
      <c r="F427" s="17">
        <v>1</v>
      </c>
      <c r="G427" s="76">
        <v>2500</v>
      </c>
      <c r="H427" s="19">
        <f t="shared" si="21"/>
        <v>2500</v>
      </c>
      <c r="I427" s="91"/>
      <c r="J427" s="81"/>
    </row>
    <row r="428" spans="1:10" x14ac:dyDescent="0.25">
      <c r="A428" s="84">
        <v>46283</v>
      </c>
      <c r="B428" s="17" t="s">
        <v>402</v>
      </c>
      <c r="C428" s="17"/>
      <c r="D428" s="17" t="s">
        <v>618</v>
      </c>
      <c r="E428" s="17"/>
      <c r="F428" s="17">
        <v>1</v>
      </c>
      <c r="G428" s="76">
        <v>2500</v>
      </c>
      <c r="H428" s="19">
        <f t="shared" si="21"/>
        <v>2500</v>
      </c>
      <c r="I428" s="91"/>
      <c r="J428" s="81"/>
    </row>
    <row r="429" spans="1:10" x14ac:dyDescent="0.25">
      <c r="A429" s="84">
        <v>46283</v>
      </c>
      <c r="B429" s="17" t="s">
        <v>402</v>
      </c>
      <c r="C429" s="17"/>
      <c r="D429" s="17" t="s">
        <v>619</v>
      </c>
      <c r="E429" s="17"/>
      <c r="F429" s="17">
        <v>1</v>
      </c>
      <c r="G429" s="76">
        <v>2500</v>
      </c>
      <c r="H429" s="19">
        <f t="shared" si="21"/>
        <v>2500</v>
      </c>
      <c r="I429" s="91"/>
      <c r="J429" s="81"/>
    </row>
    <row r="430" spans="1:10" x14ac:dyDescent="0.25">
      <c r="A430" s="84">
        <v>46283</v>
      </c>
      <c r="B430" s="17" t="s">
        <v>402</v>
      </c>
      <c r="C430" s="17"/>
      <c r="D430" s="17" t="s">
        <v>432</v>
      </c>
      <c r="E430" s="17"/>
      <c r="F430" s="17">
        <v>1</v>
      </c>
      <c r="G430" s="76">
        <v>2500</v>
      </c>
      <c r="H430" s="19">
        <f t="shared" si="21"/>
        <v>2500</v>
      </c>
      <c r="I430" s="91"/>
      <c r="J430" s="81"/>
    </row>
    <row r="431" spans="1:10" x14ac:dyDescent="0.25">
      <c r="A431" s="84">
        <v>46283</v>
      </c>
      <c r="B431" s="17" t="s">
        <v>327</v>
      </c>
      <c r="C431" s="17"/>
      <c r="D431" s="17" t="s">
        <v>424</v>
      </c>
      <c r="E431" s="17"/>
      <c r="F431" s="17">
        <v>1</v>
      </c>
      <c r="G431" s="76">
        <v>3000</v>
      </c>
      <c r="H431" s="19">
        <f t="shared" si="21"/>
        <v>3000</v>
      </c>
      <c r="I431" s="91"/>
      <c r="J431" s="81"/>
    </row>
    <row r="432" spans="1:10" x14ac:dyDescent="0.25">
      <c r="A432" s="84">
        <v>46283</v>
      </c>
      <c r="B432" s="17" t="s">
        <v>327</v>
      </c>
      <c r="C432" s="17"/>
      <c r="D432" s="17" t="s">
        <v>257</v>
      </c>
      <c r="E432" s="17"/>
      <c r="F432" s="17">
        <v>1</v>
      </c>
      <c r="G432" s="76">
        <v>3000</v>
      </c>
      <c r="H432" s="19">
        <f t="shared" si="21"/>
        <v>3000</v>
      </c>
      <c r="I432" s="91"/>
      <c r="J432" s="81"/>
    </row>
    <row r="433" spans="1:10" x14ac:dyDescent="0.25">
      <c r="A433" s="84">
        <v>46283</v>
      </c>
      <c r="B433" s="17" t="s">
        <v>344</v>
      </c>
      <c r="C433" s="17"/>
      <c r="D433" s="17" t="s">
        <v>423</v>
      </c>
      <c r="E433" s="17"/>
      <c r="F433" s="17">
        <v>1</v>
      </c>
      <c r="G433" s="76">
        <v>8000</v>
      </c>
      <c r="H433" s="19">
        <f t="shared" si="21"/>
        <v>8000</v>
      </c>
      <c r="I433" s="91"/>
      <c r="J433" s="81"/>
    </row>
    <row r="434" spans="1:10" x14ac:dyDescent="0.25">
      <c r="A434" s="84">
        <v>46283</v>
      </c>
      <c r="B434" s="17" t="s">
        <v>344</v>
      </c>
      <c r="C434" s="17"/>
      <c r="D434" s="17" t="s">
        <v>407</v>
      </c>
      <c r="E434" s="17"/>
      <c r="F434" s="17">
        <v>1</v>
      </c>
      <c r="G434" s="76">
        <v>14000</v>
      </c>
      <c r="H434" s="19">
        <f t="shared" si="21"/>
        <v>14000</v>
      </c>
      <c r="I434" s="91"/>
      <c r="J434" s="81"/>
    </row>
    <row r="435" spans="1:10" x14ac:dyDescent="0.25">
      <c r="A435" s="84">
        <v>46283</v>
      </c>
      <c r="B435" s="17" t="s">
        <v>344</v>
      </c>
      <c r="C435" s="17"/>
      <c r="D435" s="17" t="s">
        <v>405</v>
      </c>
      <c r="E435" s="17"/>
      <c r="F435" s="17">
        <v>1</v>
      </c>
      <c r="G435" s="76">
        <v>19000</v>
      </c>
      <c r="H435" s="19">
        <f t="shared" si="21"/>
        <v>19000</v>
      </c>
      <c r="I435" s="91"/>
      <c r="J435" s="81"/>
    </row>
    <row r="436" spans="1:10" x14ac:dyDescent="0.25">
      <c r="A436" s="84">
        <v>46283</v>
      </c>
      <c r="B436" s="17" t="s">
        <v>620</v>
      </c>
      <c r="C436" s="17"/>
      <c r="D436" s="17" t="s">
        <v>417</v>
      </c>
      <c r="E436" s="17"/>
      <c r="F436" s="17">
        <v>1</v>
      </c>
      <c r="G436" s="76">
        <v>7000</v>
      </c>
      <c r="H436" s="19">
        <f t="shared" si="21"/>
        <v>7000</v>
      </c>
      <c r="I436" s="91"/>
      <c r="J436" s="81"/>
    </row>
    <row r="437" spans="1:10" x14ac:dyDescent="0.25">
      <c r="A437" s="84">
        <v>46283</v>
      </c>
      <c r="B437" s="17" t="s">
        <v>620</v>
      </c>
      <c r="C437" s="17"/>
      <c r="D437" s="17" t="s">
        <v>621</v>
      </c>
      <c r="E437" s="17"/>
      <c r="F437" s="17">
        <v>1</v>
      </c>
      <c r="G437" s="76">
        <v>5000</v>
      </c>
      <c r="H437" s="19">
        <f t="shared" ref="H437:H500" si="22">F437*G437</f>
        <v>5000</v>
      </c>
      <c r="I437" s="91"/>
      <c r="J437" s="81"/>
    </row>
    <row r="438" spans="1:10" s="99" customFormat="1" ht="15.75" thickBot="1" x14ac:dyDescent="0.3">
      <c r="A438" s="94">
        <v>46283</v>
      </c>
      <c r="B438" s="95" t="s">
        <v>495</v>
      </c>
      <c r="C438" s="95"/>
      <c r="D438" s="95" t="s">
        <v>423</v>
      </c>
      <c r="E438" s="95"/>
      <c r="F438" s="95">
        <v>2</v>
      </c>
      <c r="G438" s="96">
        <v>8000</v>
      </c>
      <c r="H438" s="97">
        <f t="shared" si="22"/>
        <v>16000</v>
      </c>
      <c r="I438" s="102"/>
      <c r="J438" s="98"/>
    </row>
    <row r="439" spans="1:10" x14ac:dyDescent="0.25">
      <c r="A439" s="84">
        <v>46284</v>
      </c>
      <c r="B439" s="85" t="s">
        <v>382</v>
      </c>
      <c r="C439" s="85"/>
      <c r="D439" s="85" t="s">
        <v>577</v>
      </c>
      <c r="E439" s="85"/>
      <c r="F439" s="85">
        <v>1</v>
      </c>
      <c r="G439" s="86">
        <v>4500</v>
      </c>
      <c r="H439" s="87">
        <f t="shared" si="22"/>
        <v>4500</v>
      </c>
      <c r="I439" s="91">
        <f>SUM(H439:H447)</f>
        <v>68800</v>
      </c>
      <c r="J439" s="81"/>
    </row>
    <row r="440" spans="1:10" x14ac:dyDescent="0.25">
      <c r="A440" s="84">
        <v>46284</v>
      </c>
      <c r="B440" s="17" t="s">
        <v>382</v>
      </c>
      <c r="C440" s="17"/>
      <c r="D440" s="17" t="s">
        <v>123</v>
      </c>
      <c r="E440" s="17"/>
      <c r="F440" s="17">
        <v>1</v>
      </c>
      <c r="G440" s="76">
        <v>8800</v>
      </c>
      <c r="H440" s="19">
        <f t="shared" si="22"/>
        <v>8800</v>
      </c>
      <c r="I440" s="91"/>
      <c r="J440" s="81"/>
    </row>
    <row r="441" spans="1:10" x14ac:dyDescent="0.25">
      <c r="A441" s="84">
        <v>46284</v>
      </c>
      <c r="B441" s="17" t="s">
        <v>382</v>
      </c>
      <c r="C441" s="17"/>
      <c r="D441" s="17" t="s">
        <v>381</v>
      </c>
      <c r="E441" s="17"/>
      <c r="F441" s="17">
        <v>1</v>
      </c>
      <c r="G441" s="76">
        <v>15000</v>
      </c>
      <c r="H441" s="19">
        <f t="shared" si="22"/>
        <v>15000</v>
      </c>
      <c r="I441" s="91"/>
      <c r="J441" s="81"/>
    </row>
    <row r="442" spans="1:10" x14ac:dyDescent="0.25">
      <c r="A442" s="84">
        <v>46284</v>
      </c>
      <c r="B442" s="17" t="s">
        <v>382</v>
      </c>
      <c r="C442" s="17"/>
      <c r="D442" s="17" t="s">
        <v>277</v>
      </c>
      <c r="E442" s="17"/>
      <c r="F442" s="17">
        <v>1</v>
      </c>
      <c r="G442" s="76">
        <v>2500</v>
      </c>
      <c r="H442" s="19">
        <f t="shared" si="22"/>
        <v>2500</v>
      </c>
      <c r="I442" s="91"/>
      <c r="J442" s="81"/>
    </row>
    <row r="443" spans="1:10" x14ac:dyDescent="0.25">
      <c r="A443" s="84">
        <v>46284</v>
      </c>
      <c r="B443" s="17" t="s">
        <v>382</v>
      </c>
      <c r="C443" s="17"/>
      <c r="D443" s="17" t="s">
        <v>577</v>
      </c>
      <c r="E443" s="17"/>
      <c r="F443" s="17">
        <v>1</v>
      </c>
      <c r="G443" s="76">
        <v>4500</v>
      </c>
      <c r="H443" s="19">
        <f t="shared" si="22"/>
        <v>4500</v>
      </c>
      <c r="I443" s="91"/>
      <c r="J443" s="81"/>
    </row>
    <row r="444" spans="1:10" x14ac:dyDescent="0.25">
      <c r="A444" s="84">
        <v>46284</v>
      </c>
      <c r="B444" s="17" t="s">
        <v>382</v>
      </c>
      <c r="C444" s="17"/>
      <c r="D444" s="17" t="s">
        <v>418</v>
      </c>
      <c r="E444" s="17"/>
      <c r="F444" s="17">
        <v>1</v>
      </c>
      <c r="G444" s="76">
        <v>12000</v>
      </c>
      <c r="H444" s="19">
        <f t="shared" si="22"/>
        <v>12000</v>
      </c>
      <c r="I444" s="91"/>
      <c r="J444" s="81"/>
    </row>
    <row r="445" spans="1:10" x14ac:dyDescent="0.25">
      <c r="A445" s="84">
        <v>46284</v>
      </c>
      <c r="B445" s="17" t="s">
        <v>382</v>
      </c>
      <c r="C445" s="17"/>
      <c r="D445" s="17" t="s">
        <v>211</v>
      </c>
      <c r="E445" s="17"/>
      <c r="F445" s="17">
        <v>1</v>
      </c>
      <c r="G445" s="76">
        <v>9000</v>
      </c>
      <c r="H445" s="19">
        <f t="shared" si="22"/>
        <v>9000</v>
      </c>
      <c r="I445" s="91"/>
      <c r="J445" s="81"/>
    </row>
    <row r="446" spans="1:10" x14ac:dyDescent="0.25">
      <c r="A446" s="84">
        <v>46284</v>
      </c>
      <c r="B446" s="17" t="s">
        <v>625</v>
      </c>
      <c r="C446" s="17"/>
      <c r="D446" s="17" t="s">
        <v>423</v>
      </c>
      <c r="E446" s="17"/>
      <c r="F446" s="17">
        <v>1</v>
      </c>
      <c r="G446" s="76">
        <v>8000</v>
      </c>
      <c r="H446" s="19">
        <f t="shared" si="22"/>
        <v>8000</v>
      </c>
      <c r="I446" s="91"/>
      <c r="J446" s="81"/>
    </row>
    <row r="447" spans="1:10" s="99" customFormat="1" ht="15.75" thickBot="1" x14ac:dyDescent="0.3">
      <c r="A447" s="94">
        <v>46284</v>
      </c>
      <c r="B447" s="95" t="s">
        <v>415</v>
      </c>
      <c r="C447" s="95"/>
      <c r="D447" s="95" t="s">
        <v>577</v>
      </c>
      <c r="E447" s="95"/>
      <c r="F447" s="95">
        <v>1</v>
      </c>
      <c r="G447" s="96">
        <v>4500</v>
      </c>
      <c r="H447" s="97">
        <f t="shared" si="22"/>
        <v>4500</v>
      </c>
      <c r="I447" s="102"/>
      <c r="J447" s="98"/>
    </row>
    <row r="448" spans="1:10" x14ac:dyDescent="0.25">
      <c r="A448" s="84">
        <v>46285</v>
      </c>
      <c r="B448" s="85" t="s">
        <v>626</v>
      </c>
      <c r="C448" s="85"/>
      <c r="D448" s="85" t="s">
        <v>243</v>
      </c>
      <c r="E448" s="85"/>
      <c r="F448" s="85">
        <v>1</v>
      </c>
      <c r="G448" s="86">
        <v>10000</v>
      </c>
      <c r="H448" s="87">
        <f t="shared" si="22"/>
        <v>10000</v>
      </c>
      <c r="I448" s="91">
        <f>SUM(H448:H476)</f>
        <v>416000</v>
      </c>
      <c r="J448" s="81"/>
    </row>
    <row r="449" spans="1:10" x14ac:dyDescent="0.25">
      <c r="A449" s="84">
        <v>46285</v>
      </c>
      <c r="B449" s="17" t="s">
        <v>626</v>
      </c>
      <c r="C449" s="17"/>
      <c r="D449" s="17" t="s">
        <v>627</v>
      </c>
      <c r="E449" s="17"/>
      <c r="F449" s="17">
        <v>1</v>
      </c>
      <c r="G449" s="76">
        <v>10000</v>
      </c>
      <c r="H449" s="19">
        <f t="shared" si="22"/>
        <v>10000</v>
      </c>
      <c r="I449" s="91"/>
      <c r="J449" s="81"/>
    </row>
    <row r="450" spans="1:10" x14ac:dyDescent="0.25">
      <c r="A450" s="84">
        <v>46285</v>
      </c>
      <c r="B450" s="17" t="s">
        <v>382</v>
      </c>
      <c r="C450" s="17"/>
      <c r="D450" s="17" t="s">
        <v>417</v>
      </c>
      <c r="E450" s="17"/>
      <c r="F450" s="17">
        <v>2</v>
      </c>
      <c r="G450" s="76">
        <v>7000</v>
      </c>
      <c r="H450" s="19">
        <f t="shared" si="22"/>
        <v>14000</v>
      </c>
      <c r="I450" s="91"/>
      <c r="J450" s="81"/>
    </row>
    <row r="451" spans="1:10" x14ac:dyDescent="0.25">
      <c r="A451" s="84">
        <v>46285</v>
      </c>
      <c r="B451" s="17" t="s">
        <v>628</v>
      </c>
      <c r="C451" s="17"/>
      <c r="D451" s="17" t="s">
        <v>171</v>
      </c>
      <c r="E451" s="17"/>
      <c r="F451" s="17">
        <v>4</v>
      </c>
      <c r="G451" s="76">
        <v>6500</v>
      </c>
      <c r="H451" s="19">
        <f t="shared" si="22"/>
        <v>26000</v>
      </c>
      <c r="I451" s="91"/>
      <c r="J451" s="81"/>
    </row>
    <row r="452" spans="1:10" x14ac:dyDescent="0.25">
      <c r="A452" s="84">
        <v>46285</v>
      </c>
      <c r="B452" s="17" t="s">
        <v>628</v>
      </c>
      <c r="C452" s="17"/>
      <c r="D452" s="17" t="s">
        <v>593</v>
      </c>
      <c r="E452" s="17"/>
      <c r="F452" s="17">
        <v>1</v>
      </c>
      <c r="G452" s="76">
        <v>10000</v>
      </c>
      <c r="H452" s="19">
        <f t="shared" si="22"/>
        <v>10000</v>
      </c>
      <c r="I452" s="91"/>
      <c r="J452" s="81"/>
    </row>
    <row r="453" spans="1:10" x14ac:dyDescent="0.25">
      <c r="A453" s="84">
        <v>46285</v>
      </c>
      <c r="B453" s="17" t="s">
        <v>382</v>
      </c>
      <c r="C453" s="17"/>
      <c r="D453" s="17" t="s">
        <v>362</v>
      </c>
      <c r="E453" s="17"/>
      <c r="F453" s="17">
        <v>2</v>
      </c>
      <c r="G453" s="76">
        <v>2000</v>
      </c>
      <c r="H453" s="19">
        <f t="shared" si="22"/>
        <v>4000</v>
      </c>
      <c r="I453" s="91"/>
      <c r="J453" s="81"/>
    </row>
    <row r="454" spans="1:10" x14ac:dyDescent="0.25">
      <c r="A454" s="84">
        <v>46285</v>
      </c>
      <c r="B454" s="17" t="s">
        <v>629</v>
      </c>
      <c r="C454" s="17"/>
      <c r="D454" s="17" t="s">
        <v>593</v>
      </c>
      <c r="E454" s="17"/>
      <c r="F454" s="17">
        <v>1</v>
      </c>
      <c r="G454" s="76">
        <v>10000</v>
      </c>
      <c r="H454" s="19">
        <f t="shared" si="22"/>
        <v>10000</v>
      </c>
      <c r="I454" s="91"/>
      <c r="J454" s="81"/>
    </row>
    <row r="455" spans="1:10" x14ac:dyDescent="0.25">
      <c r="A455" s="84">
        <v>46285</v>
      </c>
      <c r="B455" s="17" t="s">
        <v>629</v>
      </c>
      <c r="C455" s="17"/>
      <c r="D455" s="17" t="s">
        <v>630</v>
      </c>
      <c r="E455" s="17"/>
      <c r="F455" s="17">
        <v>1</v>
      </c>
      <c r="G455" s="76">
        <v>10000</v>
      </c>
      <c r="H455" s="19">
        <f t="shared" si="22"/>
        <v>10000</v>
      </c>
      <c r="I455" s="91"/>
      <c r="J455" s="81"/>
    </row>
    <row r="456" spans="1:10" x14ac:dyDescent="0.25">
      <c r="A456" s="84">
        <v>46285</v>
      </c>
      <c r="B456" s="17" t="s">
        <v>631</v>
      </c>
      <c r="C456" s="17"/>
      <c r="D456" s="17" t="s">
        <v>439</v>
      </c>
      <c r="E456" s="17"/>
      <c r="F456" s="17">
        <v>4</v>
      </c>
      <c r="G456" s="76">
        <v>10000</v>
      </c>
      <c r="H456" s="19">
        <f t="shared" si="22"/>
        <v>40000</v>
      </c>
      <c r="I456" s="91"/>
      <c r="J456" s="81"/>
    </row>
    <row r="457" spans="1:10" x14ac:dyDescent="0.25">
      <c r="A457" s="84">
        <v>46285</v>
      </c>
      <c r="B457" s="17" t="s">
        <v>631</v>
      </c>
      <c r="C457" s="17"/>
      <c r="D457" s="17" t="s">
        <v>593</v>
      </c>
      <c r="E457" s="17"/>
      <c r="F457" s="17">
        <v>1</v>
      </c>
      <c r="G457" s="76">
        <v>10000</v>
      </c>
      <c r="H457" s="19">
        <f t="shared" si="22"/>
        <v>10000</v>
      </c>
      <c r="I457" s="91"/>
      <c r="J457" s="81"/>
    </row>
    <row r="458" spans="1:10" x14ac:dyDescent="0.25">
      <c r="A458" s="84">
        <v>46285</v>
      </c>
      <c r="B458" s="17" t="s">
        <v>402</v>
      </c>
      <c r="C458" s="17"/>
      <c r="D458" s="17" t="s">
        <v>449</v>
      </c>
      <c r="E458" s="17"/>
      <c r="F458" s="17">
        <v>1</v>
      </c>
      <c r="G458" s="76">
        <v>32000</v>
      </c>
      <c r="H458" s="19">
        <f t="shared" si="22"/>
        <v>32000</v>
      </c>
      <c r="I458" s="91"/>
      <c r="J458" s="81"/>
    </row>
    <row r="459" spans="1:10" x14ac:dyDescent="0.25">
      <c r="A459" s="84">
        <v>46285</v>
      </c>
      <c r="B459" s="17" t="s">
        <v>402</v>
      </c>
      <c r="C459" s="17"/>
      <c r="D459" s="17" t="s">
        <v>632</v>
      </c>
      <c r="E459" s="17"/>
      <c r="F459" s="17">
        <v>1</v>
      </c>
      <c r="G459" s="76">
        <v>18000</v>
      </c>
      <c r="H459" s="19">
        <f t="shared" si="22"/>
        <v>18000</v>
      </c>
      <c r="I459" s="91"/>
      <c r="J459" s="81"/>
    </row>
    <row r="460" spans="1:10" x14ac:dyDescent="0.25">
      <c r="A460" s="84">
        <v>46285</v>
      </c>
      <c r="B460" s="17" t="s">
        <v>633</v>
      </c>
      <c r="C460" s="17"/>
      <c r="D460" s="17" t="s">
        <v>635</v>
      </c>
      <c r="E460" s="17"/>
      <c r="F460" s="17">
        <v>1</v>
      </c>
      <c r="G460" s="76">
        <v>25000</v>
      </c>
      <c r="H460" s="19">
        <f t="shared" si="22"/>
        <v>25000</v>
      </c>
      <c r="I460" s="91"/>
      <c r="J460" s="81"/>
    </row>
    <row r="461" spans="1:10" x14ac:dyDescent="0.25">
      <c r="A461" s="84">
        <v>46285</v>
      </c>
      <c r="B461" s="17" t="s">
        <v>634</v>
      </c>
      <c r="C461" s="17"/>
      <c r="D461" s="17" t="s">
        <v>583</v>
      </c>
      <c r="E461" s="17"/>
      <c r="F461" s="17">
        <v>1</v>
      </c>
      <c r="G461" s="76">
        <v>4000</v>
      </c>
      <c r="H461" s="19">
        <f t="shared" si="22"/>
        <v>4000</v>
      </c>
      <c r="I461" s="91"/>
      <c r="J461" s="81"/>
    </row>
    <row r="462" spans="1:10" x14ac:dyDescent="0.25">
      <c r="A462" s="84">
        <v>46285</v>
      </c>
      <c r="B462" s="17" t="s">
        <v>382</v>
      </c>
      <c r="C462" s="17"/>
      <c r="D462" s="17" t="s">
        <v>593</v>
      </c>
      <c r="E462" s="17"/>
      <c r="F462" s="17">
        <v>1</v>
      </c>
      <c r="G462" s="76">
        <v>10000</v>
      </c>
      <c r="H462" s="19">
        <f t="shared" si="22"/>
        <v>10000</v>
      </c>
      <c r="I462" s="91"/>
      <c r="J462" s="81"/>
    </row>
    <row r="463" spans="1:10" x14ac:dyDescent="0.25">
      <c r="A463" s="84">
        <v>46285</v>
      </c>
      <c r="B463" s="17" t="s">
        <v>382</v>
      </c>
      <c r="C463" s="17"/>
      <c r="D463" s="17" t="s">
        <v>106</v>
      </c>
      <c r="E463" s="17"/>
      <c r="F463" s="17">
        <v>1</v>
      </c>
      <c r="G463" s="76">
        <v>15000</v>
      </c>
      <c r="H463" s="19">
        <f t="shared" si="22"/>
        <v>15000</v>
      </c>
      <c r="I463" s="91"/>
      <c r="J463" s="81"/>
    </row>
    <row r="464" spans="1:10" x14ac:dyDescent="0.25">
      <c r="A464" s="84">
        <v>46285</v>
      </c>
      <c r="B464" s="17" t="s">
        <v>382</v>
      </c>
      <c r="C464" s="17"/>
      <c r="D464" s="17" t="s">
        <v>636</v>
      </c>
      <c r="E464" s="17"/>
      <c r="F464" s="17">
        <v>1</v>
      </c>
      <c r="G464" s="76">
        <v>6000</v>
      </c>
      <c r="H464" s="19">
        <f t="shared" si="22"/>
        <v>6000</v>
      </c>
      <c r="I464" s="91"/>
      <c r="J464" s="81"/>
    </row>
    <row r="465" spans="1:10" x14ac:dyDescent="0.25">
      <c r="A465" s="84">
        <v>46285</v>
      </c>
      <c r="B465" s="17" t="s">
        <v>344</v>
      </c>
      <c r="C465" s="17"/>
      <c r="D465" s="17" t="s">
        <v>637</v>
      </c>
      <c r="E465" s="17"/>
      <c r="F465" s="17">
        <v>1</v>
      </c>
      <c r="G465" s="76">
        <v>50000</v>
      </c>
      <c r="H465" s="19">
        <f t="shared" si="22"/>
        <v>50000</v>
      </c>
      <c r="I465" s="91"/>
      <c r="J465" s="81"/>
    </row>
    <row r="466" spans="1:10" x14ac:dyDescent="0.25">
      <c r="A466" s="84">
        <v>46285</v>
      </c>
      <c r="B466" s="17" t="s">
        <v>344</v>
      </c>
      <c r="C466" s="17"/>
      <c r="D466" s="17" t="s">
        <v>638</v>
      </c>
      <c r="E466" s="17"/>
      <c r="F466" s="17">
        <v>1</v>
      </c>
      <c r="G466" s="76">
        <v>30000</v>
      </c>
      <c r="H466" s="19">
        <f t="shared" si="22"/>
        <v>30000</v>
      </c>
      <c r="I466" s="91"/>
      <c r="J466" s="81"/>
    </row>
    <row r="467" spans="1:10" x14ac:dyDescent="0.25">
      <c r="A467" s="84">
        <v>46285</v>
      </c>
      <c r="B467" s="17" t="s">
        <v>344</v>
      </c>
      <c r="C467" s="17"/>
      <c r="D467" s="17" t="s">
        <v>239</v>
      </c>
      <c r="E467" s="17"/>
      <c r="F467" s="17">
        <v>1</v>
      </c>
      <c r="G467" s="76">
        <v>18000</v>
      </c>
      <c r="H467" s="19">
        <f t="shared" si="22"/>
        <v>18000</v>
      </c>
      <c r="I467" s="91"/>
      <c r="J467" s="81"/>
    </row>
    <row r="468" spans="1:10" x14ac:dyDescent="0.25">
      <c r="A468" s="84">
        <v>46285</v>
      </c>
      <c r="B468" s="17" t="s">
        <v>382</v>
      </c>
      <c r="C468" s="17"/>
      <c r="D468" s="17" t="s">
        <v>389</v>
      </c>
      <c r="E468" s="17"/>
      <c r="F468" s="17">
        <v>1</v>
      </c>
      <c r="G468" s="76">
        <v>10000</v>
      </c>
      <c r="H468" s="19">
        <f t="shared" si="22"/>
        <v>10000</v>
      </c>
      <c r="I468" s="91"/>
      <c r="J468" s="81"/>
    </row>
    <row r="469" spans="1:10" x14ac:dyDescent="0.25">
      <c r="A469" s="84">
        <v>46285</v>
      </c>
      <c r="B469" s="17" t="s">
        <v>382</v>
      </c>
      <c r="C469" s="17"/>
      <c r="D469" s="17" t="s">
        <v>639</v>
      </c>
      <c r="E469" s="17"/>
      <c r="F469" s="17">
        <v>4</v>
      </c>
      <c r="G469" s="76">
        <v>3000</v>
      </c>
      <c r="H469" s="19">
        <f t="shared" si="22"/>
        <v>12000</v>
      </c>
      <c r="I469" s="91"/>
      <c r="J469" s="81"/>
    </row>
    <row r="470" spans="1:10" x14ac:dyDescent="0.25">
      <c r="A470" s="84">
        <v>46285</v>
      </c>
      <c r="B470" s="17" t="s">
        <v>382</v>
      </c>
      <c r="C470" s="17"/>
      <c r="D470" s="17" t="s">
        <v>640</v>
      </c>
      <c r="E470" s="17"/>
      <c r="F470" s="17">
        <v>1</v>
      </c>
      <c r="G470" s="76">
        <v>6500</v>
      </c>
      <c r="H470" s="19">
        <f t="shared" si="22"/>
        <v>6500</v>
      </c>
      <c r="I470" s="91"/>
      <c r="J470" s="81"/>
    </row>
    <row r="471" spans="1:10" x14ac:dyDescent="0.25">
      <c r="A471" s="84">
        <v>46285</v>
      </c>
      <c r="B471" s="17" t="s">
        <v>382</v>
      </c>
      <c r="C471" s="17"/>
      <c r="D471" s="17" t="s">
        <v>640</v>
      </c>
      <c r="E471" s="17"/>
      <c r="F471" s="17">
        <v>1</v>
      </c>
      <c r="G471" s="76">
        <v>6500</v>
      </c>
      <c r="H471" s="19">
        <f t="shared" si="22"/>
        <v>6500</v>
      </c>
      <c r="I471" s="91"/>
      <c r="J471" s="81"/>
    </row>
    <row r="472" spans="1:10" x14ac:dyDescent="0.25">
      <c r="A472" s="84">
        <v>46285</v>
      </c>
      <c r="B472" s="17" t="s">
        <v>382</v>
      </c>
      <c r="C472" s="17"/>
      <c r="D472" s="17" t="s">
        <v>640</v>
      </c>
      <c r="E472" s="17"/>
      <c r="F472" s="17">
        <v>1</v>
      </c>
      <c r="G472" s="76">
        <v>4500</v>
      </c>
      <c r="H472" s="19">
        <f t="shared" si="22"/>
        <v>4500</v>
      </c>
      <c r="I472" s="91"/>
      <c r="J472" s="81"/>
    </row>
    <row r="473" spans="1:10" x14ac:dyDescent="0.25">
      <c r="A473" s="84">
        <v>46285</v>
      </c>
      <c r="B473" s="17" t="s">
        <v>382</v>
      </c>
      <c r="C473" s="17"/>
      <c r="D473" s="17" t="s">
        <v>311</v>
      </c>
      <c r="E473" s="17"/>
      <c r="F473" s="17">
        <v>1</v>
      </c>
      <c r="G473" s="76">
        <v>8000</v>
      </c>
      <c r="H473" s="19">
        <f t="shared" si="22"/>
        <v>8000</v>
      </c>
      <c r="I473" s="91"/>
      <c r="J473" s="81"/>
    </row>
    <row r="474" spans="1:10" x14ac:dyDescent="0.25">
      <c r="A474" s="84">
        <v>46285</v>
      </c>
      <c r="B474" s="17" t="s">
        <v>382</v>
      </c>
      <c r="C474" s="17"/>
      <c r="D474" s="17" t="s">
        <v>257</v>
      </c>
      <c r="E474" s="17"/>
      <c r="F474" s="17">
        <v>2</v>
      </c>
      <c r="G474" s="76">
        <v>2500</v>
      </c>
      <c r="H474" s="19">
        <f t="shared" si="22"/>
        <v>5000</v>
      </c>
      <c r="I474" s="91"/>
      <c r="J474" s="81"/>
    </row>
    <row r="475" spans="1:10" x14ac:dyDescent="0.25">
      <c r="A475" s="84">
        <v>46285</v>
      </c>
      <c r="B475" s="17" t="s">
        <v>382</v>
      </c>
      <c r="C475" s="17"/>
      <c r="D475" s="17" t="s">
        <v>362</v>
      </c>
      <c r="E475" s="17"/>
      <c r="F475" s="17">
        <v>1</v>
      </c>
      <c r="G475" s="76">
        <v>2500</v>
      </c>
      <c r="H475" s="19">
        <f t="shared" si="22"/>
        <v>2500</v>
      </c>
      <c r="I475" s="91"/>
      <c r="J475" s="81"/>
    </row>
    <row r="476" spans="1:10" ht="15.75" thickBot="1" x14ac:dyDescent="0.3">
      <c r="A476" s="84">
        <v>46285</v>
      </c>
      <c r="B476" s="95" t="s">
        <v>382</v>
      </c>
      <c r="C476" s="95"/>
      <c r="D476" s="95" t="s">
        <v>641</v>
      </c>
      <c r="E476" s="95"/>
      <c r="F476" s="95">
        <v>2</v>
      </c>
      <c r="G476" s="96">
        <v>4500</v>
      </c>
      <c r="H476" s="97">
        <f t="shared" si="22"/>
        <v>9000</v>
      </c>
      <c r="I476" s="100"/>
      <c r="J476" s="81"/>
    </row>
    <row r="477" spans="1:10" x14ac:dyDescent="0.25">
      <c r="A477" s="84">
        <v>46286</v>
      </c>
      <c r="B477" s="85" t="s">
        <v>642</v>
      </c>
      <c r="C477" s="85"/>
      <c r="D477" s="85" t="s">
        <v>123</v>
      </c>
      <c r="E477" s="85"/>
      <c r="F477" s="85">
        <v>1</v>
      </c>
      <c r="G477" s="86">
        <v>8800</v>
      </c>
      <c r="H477" s="87">
        <f t="shared" si="22"/>
        <v>8800</v>
      </c>
      <c r="I477" s="91">
        <f>SUM(H477:H503)</f>
        <v>289300</v>
      </c>
      <c r="J477" s="81"/>
    </row>
    <row r="478" spans="1:10" x14ac:dyDescent="0.25">
      <c r="A478" s="84">
        <v>46286</v>
      </c>
      <c r="B478" s="85" t="s">
        <v>642</v>
      </c>
      <c r="C478" s="17"/>
      <c r="D478" s="17" t="s">
        <v>643</v>
      </c>
      <c r="E478" s="17"/>
      <c r="F478" s="17">
        <v>1</v>
      </c>
      <c r="G478" s="76">
        <v>13000</v>
      </c>
      <c r="H478" s="19">
        <f t="shared" si="22"/>
        <v>13000</v>
      </c>
      <c r="I478" s="91"/>
      <c r="J478" s="81"/>
    </row>
    <row r="479" spans="1:10" x14ac:dyDescent="0.25">
      <c r="A479" s="84">
        <v>46286</v>
      </c>
      <c r="B479" s="85" t="s">
        <v>642</v>
      </c>
      <c r="C479" s="17"/>
      <c r="D479" s="17" t="s">
        <v>593</v>
      </c>
      <c r="E479" s="17"/>
      <c r="F479" s="17">
        <v>1</v>
      </c>
      <c r="G479" s="76">
        <v>10000</v>
      </c>
      <c r="H479" s="19">
        <f t="shared" si="22"/>
        <v>10000</v>
      </c>
      <c r="I479" s="91"/>
      <c r="J479" s="81"/>
    </row>
    <row r="480" spans="1:10" x14ac:dyDescent="0.25">
      <c r="A480" s="84">
        <v>46286</v>
      </c>
      <c r="B480" s="17" t="s">
        <v>398</v>
      </c>
      <c r="C480" s="17"/>
      <c r="D480" s="17" t="s">
        <v>644</v>
      </c>
      <c r="E480" s="17"/>
      <c r="F480" s="17">
        <v>2</v>
      </c>
      <c r="G480" s="76">
        <v>1500</v>
      </c>
      <c r="H480" s="19">
        <f t="shared" si="22"/>
        <v>3000</v>
      </c>
      <c r="I480" s="91"/>
      <c r="J480" s="81"/>
    </row>
    <row r="481" spans="1:10" x14ac:dyDescent="0.25">
      <c r="A481" s="84">
        <v>46286</v>
      </c>
      <c r="B481" s="17" t="s">
        <v>349</v>
      </c>
      <c r="C481" s="17"/>
      <c r="D481" s="17" t="s">
        <v>576</v>
      </c>
      <c r="E481" s="17"/>
      <c r="F481" s="17">
        <v>1</v>
      </c>
      <c r="G481" s="76">
        <v>10000</v>
      </c>
      <c r="H481" s="19">
        <f t="shared" si="22"/>
        <v>10000</v>
      </c>
      <c r="I481" s="91"/>
      <c r="J481" s="81"/>
    </row>
    <row r="482" spans="1:10" x14ac:dyDescent="0.25">
      <c r="A482" s="84">
        <v>46286</v>
      </c>
      <c r="B482" s="17" t="s">
        <v>444</v>
      </c>
      <c r="C482" s="17"/>
      <c r="D482" s="17" t="s">
        <v>576</v>
      </c>
      <c r="E482" s="17"/>
      <c r="F482" s="17">
        <v>1</v>
      </c>
      <c r="G482" s="76">
        <v>12000</v>
      </c>
      <c r="H482" s="19">
        <f t="shared" si="22"/>
        <v>12000</v>
      </c>
      <c r="I482" s="91"/>
      <c r="J482" s="81"/>
    </row>
    <row r="483" spans="1:10" x14ac:dyDescent="0.25">
      <c r="A483" s="84">
        <v>46286</v>
      </c>
      <c r="B483" s="17" t="s">
        <v>444</v>
      </c>
      <c r="C483" s="17"/>
      <c r="D483" s="17" t="s">
        <v>211</v>
      </c>
      <c r="E483" s="17"/>
      <c r="F483" s="17">
        <v>1</v>
      </c>
      <c r="G483" s="76">
        <v>8000</v>
      </c>
      <c r="H483" s="19">
        <f t="shared" si="22"/>
        <v>8000</v>
      </c>
      <c r="I483" s="91"/>
      <c r="J483" s="81"/>
    </row>
    <row r="484" spans="1:10" x14ac:dyDescent="0.25">
      <c r="A484" s="84">
        <v>46286</v>
      </c>
      <c r="B484" s="17" t="s">
        <v>382</v>
      </c>
      <c r="C484" s="17"/>
      <c r="D484" s="17" t="s">
        <v>645</v>
      </c>
      <c r="E484" s="17"/>
      <c r="F484" s="17">
        <v>2</v>
      </c>
      <c r="G484" s="76">
        <v>2500</v>
      </c>
      <c r="H484" s="19">
        <f t="shared" si="22"/>
        <v>5000</v>
      </c>
      <c r="I484" s="91"/>
      <c r="J484" s="81"/>
    </row>
    <row r="485" spans="1:10" x14ac:dyDescent="0.25">
      <c r="A485" s="84">
        <v>46286</v>
      </c>
      <c r="B485" s="17" t="s">
        <v>382</v>
      </c>
      <c r="C485" s="17"/>
      <c r="D485" s="17" t="s">
        <v>311</v>
      </c>
      <c r="E485" s="17"/>
      <c r="F485" s="17">
        <v>1</v>
      </c>
      <c r="G485" s="76">
        <v>9000</v>
      </c>
      <c r="H485" s="19">
        <f t="shared" si="22"/>
        <v>9000</v>
      </c>
      <c r="I485" s="91"/>
      <c r="J485" s="81"/>
    </row>
    <row r="486" spans="1:10" x14ac:dyDescent="0.25">
      <c r="A486" s="84">
        <v>46286</v>
      </c>
      <c r="B486" s="17" t="s">
        <v>398</v>
      </c>
      <c r="C486" s="17"/>
      <c r="D486" s="17" t="s">
        <v>576</v>
      </c>
      <c r="E486" s="17"/>
      <c r="F486" s="17">
        <v>1</v>
      </c>
      <c r="G486" s="76">
        <v>10000</v>
      </c>
      <c r="H486" s="19">
        <f t="shared" si="22"/>
        <v>10000</v>
      </c>
      <c r="I486" s="91"/>
      <c r="J486" s="81"/>
    </row>
    <row r="487" spans="1:10" x14ac:dyDescent="0.25">
      <c r="A487" s="84">
        <v>46286</v>
      </c>
      <c r="B487" s="17" t="s">
        <v>349</v>
      </c>
      <c r="C487" s="17"/>
      <c r="D487" s="17" t="s">
        <v>576</v>
      </c>
      <c r="E487" s="17"/>
      <c r="F487" s="17">
        <v>2</v>
      </c>
      <c r="G487" s="76">
        <v>10000</v>
      </c>
      <c r="H487" s="19">
        <f t="shared" si="22"/>
        <v>20000</v>
      </c>
      <c r="I487" s="91"/>
      <c r="J487" s="81"/>
    </row>
    <row r="488" spans="1:10" x14ac:dyDescent="0.25">
      <c r="A488" s="84">
        <v>46286</v>
      </c>
      <c r="B488" s="17" t="s">
        <v>646</v>
      </c>
      <c r="C488" s="17"/>
      <c r="D488" s="17" t="s">
        <v>263</v>
      </c>
      <c r="E488" s="17"/>
      <c r="F488" s="17">
        <v>3</v>
      </c>
      <c r="G488" s="76">
        <v>20000</v>
      </c>
      <c r="H488" s="19">
        <f t="shared" si="22"/>
        <v>60000</v>
      </c>
      <c r="I488" s="91"/>
      <c r="J488" s="81"/>
    </row>
    <row r="489" spans="1:10" x14ac:dyDescent="0.25">
      <c r="A489" s="84">
        <v>46286</v>
      </c>
      <c r="B489" s="17" t="s">
        <v>646</v>
      </c>
      <c r="C489" s="17"/>
      <c r="D489" s="17" t="s">
        <v>569</v>
      </c>
      <c r="E489" s="17"/>
      <c r="F489" s="17">
        <v>2</v>
      </c>
      <c r="G489" s="76">
        <v>10000</v>
      </c>
      <c r="H489" s="19">
        <f t="shared" si="22"/>
        <v>20000</v>
      </c>
      <c r="I489" s="91"/>
      <c r="J489" s="81"/>
    </row>
    <row r="490" spans="1:10" x14ac:dyDescent="0.25">
      <c r="A490" s="84">
        <v>46286</v>
      </c>
      <c r="B490" s="17" t="s">
        <v>398</v>
      </c>
      <c r="C490" s="17"/>
      <c r="D490" s="17" t="s">
        <v>274</v>
      </c>
      <c r="E490" s="17"/>
      <c r="F490" s="17">
        <v>1</v>
      </c>
      <c r="G490" s="76">
        <v>6500</v>
      </c>
      <c r="H490" s="19">
        <f t="shared" si="22"/>
        <v>6500</v>
      </c>
      <c r="I490" s="91"/>
      <c r="J490" s="81"/>
    </row>
    <row r="491" spans="1:10" x14ac:dyDescent="0.25">
      <c r="A491" s="84">
        <v>46286</v>
      </c>
      <c r="B491" s="17" t="s">
        <v>327</v>
      </c>
      <c r="C491" s="17"/>
      <c r="D491" s="17" t="s">
        <v>439</v>
      </c>
      <c r="E491" s="17"/>
      <c r="F491" s="17">
        <v>4</v>
      </c>
      <c r="G491" s="76">
        <v>6500</v>
      </c>
      <c r="H491" s="19">
        <f t="shared" si="22"/>
        <v>26000</v>
      </c>
      <c r="I491" s="91"/>
      <c r="J491" s="81"/>
    </row>
    <row r="492" spans="1:10" x14ac:dyDescent="0.25">
      <c r="A492" s="84">
        <v>46286</v>
      </c>
      <c r="B492" s="17" t="s">
        <v>327</v>
      </c>
      <c r="C492" s="17"/>
      <c r="D492" s="17" t="s">
        <v>648</v>
      </c>
      <c r="E492" s="17"/>
      <c r="F492" s="17">
        <v>4</v>
      </c>
      <c r="G492" s="76">
        <v>1500</v>
      </c>
      <c r="H492" s="19">
        <f t="shared" si="22"/>
        <v>6000</v>
      </c>
      <c r="I492" s="91"/>
      <c r="J492" s="81"/>
    </row>
    <row r="493" spans="1:10" x14ac:dyDescent="0.25">
      <c r="A493" s="84">
        <v>46286</v>
      </c>
      <c r="B493" s="17" t="s">
        <v>327</v>
      </c>
      <c r="C493" s="17"/>
      <c r="D493" s="17" t="s">
        <v>649</v>
      </c>
      <c r="E493" s="17"/>
      <c r="F493" s="17">
        <v>2</v>
      </c>
      <c r="G493" s="76">
        <v>5000</v>
      </c>
      <c r="H493" s="19">
        <f t="shared" si="22"/>
        <v>10000</v>
      </c>
      <c r="I493" s="91"/>
      <c r="J493" s="81"/>
    </row>
    <row r="494" spans="1:10" x14ac:dyDescent="0.25">
      <c r="A494" s="84">
        <v>46286</v>
      </c>
      <c r="B494" s="17" t="s">
        <v>327</v>
      </c>
      <c r="C494" s="17"/>
      <c r="D494" s="17" t="s">
        <v>211</v>
      </c>
      <c r="E494" s="17"/>
      <c r="F494" s="17">
        <v>1</v>
      </c>
      <c r="G494" s="76">
        <v>9000</v>
      </c>
      <c r="H494" s="19">
        <f t="shared" si="22"/>
        <v>9000</v>
      </c>
      <c r="I494" s="91"/>
      <c r="J494" s="81"/>
    </row>
    <row r="495" spans="1:10" x14ac:dyDescent="0.25">
      <c r="A495" s="84">
        <v>46286</v>
      </c>
      <c r="B495" s="17" t="s">
        <v>650</v>
      </c>
      <c r="C495" s="17"/>
      <c r="D495" s="17" t="s">
        <v>641</v>
      </c>
      <c r="E495" s="17"/>
      <c r="F495" s="17">
        <v>1</v>
      </c>
      <c r="G495" s="76">
        <v>4500</v>
      </c>
      <c r="H495" s="19">
        <f t="shared" si="22"/>
        <v>4500</v>
      </c>
      <c r="I495" s="91"/>
      <c r="J495" s="81"/>
    </row>
    <row r="496" spans="1:10" x14ac:dyDescent="0.25">
      <c r="A496" s="84">
        <v>46286</v>
      </c>
      <c r="B496" s="17" t="s">
        <v>650</v>
      </c>
      <c r="C496" s="17"/>
      <c r="D496" s="17" t="s">
        <v>651</v>
      </c>
      <c r="E496" s="17"/>
      <c r="F496" s="17">
        <v>1</v>
      </c>
      <c r="G496" s="76">
        <v>1500</v>
      </c>
      <c r="H496" s="19">
        <f t="shared" si="22"/>
        <v>1500</v>
      </c>
      <c r="I496" s="91"/>
      <c r="J496" s="81"/>
    </row>
    <row r="497" spans="1:10" x14ac:dyDescent="0.25">
      <c r="A497" s="84">
        <v>46286</v>
      </c>
      <c r="B497" s="17" t="s">
        <v>433</v>
      </c>
      <c r="C497" s="17"/>
      <c r="D497" s="17" t="s">
        <v>652</v>
      </c>
      <c r="E497" s="17"/>
      <c r="F497" s="17">
        <v>2</v>
      </c>
      <c r="G497" s="76">
        <v>1500</v>
      </c>
      <c r="H497" s="19">
        <f t="shared" si="22"/>
        <v>3000</v>
      </c>
      <c r="I497" s="91"/>
      <c r="J497" s="81"/>
    </row>
    <row r="498" spans="1:10" x14ac:dyDescent="0.25">
      <c r="A498" s="84">
        <v>46286</v>
      </c>
      <c r="B498" s="17" t="s">
        <v>433</v>
      </c>
      <c r="C498" s="17"/>
      <c r="D498" s="17" t="s">
        <v>653</v>
      </c>
      <c r="E498" s="17"/>
      <c r="F498" s="17">
        <v>1</v>
      </c>
      <c r="G498" s="76">
        <v>6500</v>
      </c>
      <c r="H498" s="19">
        <f t="shared" si="22"/>
        <v>6500</v>
      </c>
      <c r="I498" s="91"/>
      <c r="J498" s="81"/>
    </row>
    <row r="499" spans="1:10" x14ac:dyDescent="0.25">
      <c r="A499" s="84">
        <v>46286</v>
      </c>
      <c r="B499" s="17" t="s">
        <v>382</v>
      </c>
      <c r="C499" s="17"/>
      <c r="D499" s="17" t="s">
        <v>497</v>
      </c>
      <c r="E499" s="17"/>
      <c r="F499" s="17">
        <v>1</v>
      </c>
      <c r="G499" s="76">
        <v>10000</v>
      </c>
      <c r="H499" s="19">
        <f t="shared" si="22"/>
        <v>10000</v>
      </c>
      <c r="I499" s="91"/>
      <c r="J499" s="81"/>
    </row>
    <row r="500" spans="1:10" x14ac:dyDescent="0.25">
      <c r="A500" s="84">
        <v>46286</v>
      </c>
      <c r="B500" s="17" t="s">
        <v>382</v>
      </c>
      <c r="C500" s="17"/>
      <c r="D500" s="17" t="s">
        <v>621</v>
      </c>
      <c r="E500" s="17"/>
      <c r="F500" s="17">
        <v>1</v>
      </c>
      <c r="G500" s="76">
        <v>5000</v>
      </c>
      <c r="H500" s="19">
        <f t="shared" si="22"/>
        <v>5000</v>
      </c>
      <c r="I500" s="91"/>
      <c r="J500" s="81"/>
    </row>
    <row r="501" spans="1:10" x14ac:dyDescent="0.25">
      <c r="A501" s="84">
        <v>46286</v>
      </c>
      <c r="B501" s="17" t="s">
        <v>658</v>
      </c>
      <c r="C501" s="17"/>
      <c r="D501" s="17" t="s">
        <v>277</v>
      </c>
      <c r="E501" s="17"/>
      <c r="F501" s="17">
        <v>1</v>
      </c>
      <c r="G501" s="76">
        <v>1500</v>
      </c>
      <c r="H501" s="19">
        <f t="shared" ref="H501:H565" si="23">F501*G501</f>
        <v>1500</v>
      </c>
      <c r="I501" s="91"/>
      <c r="J501" s="81"/>
    </row>
    <row r="502" spans="1:10" x14ac:dyDescent="0.25">
      <c r="A502" s="84">
        <v>46286</v>
      </c>
      <c r="B502" s="17" t="s">
        <v>658</v>
      </c>
      <c r="C502" s="17"/>
      <c r="D502" s="17" t="s">
        <v>640</v>
      </c>
      <c r="E502" s="17"/>
      <c r="F502" s="17">
        <v>1</v>
      </c>
      <c r="G502" s="76">
        <v>4500</v>
      </c>
      <c r="H502" s="19">
        <f t="shared" si="23"/>
        <v>4500</v>
      </c>
      <c r="I502" s="91"/>
      <c r="J502" s="81"/>
    </row>
    <row r="503" spans="1:10" ht="15.75" thickBot="1" x14ac:dyDescent="0.3">
      <c r="A503" s="106">
        <v>46286</v>
      </c>
      <c r="B503" s="95" t="s">
        <v>444</v>
      </c>
      <c r="C503" s="95"/>
      <c r="D503" s="95" t="s">
        <v>346</v>
      </c>
      <c r="E503" s="95"/>
      <c r="F503" s="95">
        <v>1</v>
      </c>
      <c r="G503" s="96">
        <v>6500</v>
      </c>
      <c r="H503" s="97">
        <f t="shared" si="23"/>
        <v>6500</v>
      </c>
      <c r="I503" s="100"/>
      <c r="J503" s="81"/>
    </row>
    <row r="504" spans="1:10" x14ac:dyDescent="0.25">
      <c r="A504" s="84">
        <v>46287</v>
      </c>
      <c r="B504" s="85" t="s">
        <v>382</v>
      </c>
      <c r="C504" s="85"/>
      <c r="D504" s="85" t="s">
        <v>277</v>
      </c>
      <c r="E504" s="85"/>
      <c r="F504" s="85">
        <v>2</v>
      </c>
      <c r="G504" s="86">
        <v>1500</v>
      </c>
      <c r="H504" s="87">
        <f t="shared" si="23"/>
        <v>3000</v>
      </c>
      <c r="I504" s="91">
        <f>SUM(H504:H526)</f>
        <v>235500</v>
      </c>
      <c r="J504" s="81"/>
    </row>
    <row r="505" spans="1:10" x14ac:dyDescent="0.25">
      <c r="A505" s="84">
        <v>46287</v>
      </c>
      <c r="B505" s="17" t="s">
        <v>382</v>
      </c>
      <c r="C505" s="17"/>
      <c r="D505" s="85" t="s">
        <v>277</v>
      </c>
      <c r="E505" s="17"/>
      <c r="F505" s="17">
        <v>4</v>
      </c>
      <c r="G505" s="76">
        <v>1500</v>
      </c>
      <c r="H505" s="19">
        <f t="shared" si="23"/>
        <v>6000</v>
      </c>
      <c r="I505" s="91"/>
      <c r="J505" s="81"/>
    </row>
    <row r="506" spans="1:10" x14ac:dyDescent="0.25">
      <c r="A506" s="84">
        <v>46287</v>
      </c>
      <c r="B506" s="17" t="s">
        <v>444</v>
      </c>
      <c r="C506" s="17"/>
      <c r="D506" s="17" t="s">
        <v>397</v>
      </c>
      <c r="E506" s="17"/>
      <c r="F506" s="17">
        <v>1</v>
      </c>
      <c r="G506" s="76">
        <v>7000</v>
      </c>
      <c r="H506" s="19">
        <f t="shared" si="23"/>
        <v>7000</v>
      </c>
      <c r="I506" s="91"/>
      <c r="J506" s="81"/>
    </row>
    <row r="507" spans="1:10" x14ac:dyDescent="0.25">
      <c r="A507" s="84">
        <v>46287</v>
      </c>
      <c r="B507" s="17" t="s">
        <v>444</v>
      </c>
      <c r="C507" s="17"/>
      <c r="D507" s="17" t="s">
        <v>105</v>
      </c>
      <c r="E507" s="17"/>
      <c r="F507" s="17">
        <v>1</v>
      </c>
      <c r="G507" s="76">
        <v>8000</v>
      </c>
      <c r="H507" s="19">
        <f t="shared" si="23"/>
        <v>8000</v>
      </c>
      <c r="I507" s="91"/>
      <c r="J507" s="81"/>
    </row>
    <row r="508" spans="1:10" x14ac:dyDescent="0.25">
      <c r="A508" s="84">
        <v>46287</v>
      </c>
      <c r="B508" s="17" t="s">
        <v>444</v>
      </c>
      <c r="C508" s="17"/>
      <c r="D508" s="17" t="s">
        <v>659</v>
      </c>
      <c r="E508" s="17"/>
      <c r="F508" s="17">
        <v>1</v>
      </c>
      <c r="G508" s="76">
        <v>10500</v>
      </c>
      <c r="H508" s="19">
        <f t="shared" si="23"/>
        <v>10500</v>
      </c>
      <c r="I508" s="91"/>
      <c r="J508" s="81"/>
    </row>
    <row r="509" spans="1:10" x14ac:dyDescent="0.25">
      <c r="A509" s="84">
        <v>46287</v>
      </c>
      <c r="B509" s="17" t="s">
        <v>444</v>
      </c>
      <c r="C509" s="17"/>
      <c r="D509" s="17" t="s">
        <v>659</v>
      </c>
      <c r="E509" s="17"/>
      <c r="F509" s="17">
        <v>1</v>
      </c>
      <c r="G509" s="76">
        <v>10500</v>
      </c>
      <c r="H509" s="19">
        <f t="shared" si="23"/>
        <v>10500</v>
      </c>
      <c r="I509" s="91"/>
      <c r="J509" s="81"/>
    </row>
    <row r="510" spans="1:10" x14ac:dyDescent="0.25">
      <c r="A510" s="84">
        <v>46287</v>
      </c>
      <c r="B510" s="17" t="s">
        <v>444</v>
      </c>
      <c r="C510" s="17"/>
      <c r="D510" s="17" t="s">
        <v>659</v>
      </c>
      <c r="E510" s="17"/>
      <c r="F510" s="17">
        <v>1</v>
      </c>
      <c r="G510" s="76">
        <v>10500</v>
      </c>
      <c r="H510" s="19">
        <f t="shared" si="23"/>
        <v>10500</v>
      </c>
      <c r="I510" s="91"/>
      <c r="J510" s="81"/>
    </row>
    <row r="511" spans="1:10" x14ac:dyDescent="0.25">
      <c r="A511" s="84">
        <v>46287</v>
      </c>
      <c r="B511" s="17" t="s">
        <v>382</v>
      </c>
      <c r="C511" s="17"/>
      <c r="D511" s="17" t="s">
        <v>94</v>
      </c>
      <c r="E511" s="17"/>
      <c r="F511" s="17">
        <v>1</v>
      </c>
      <c r="G511" s="76">
        <v>2500</v>
      </c>
      <c r="H511" s="19">
        <f t="shared" si="23"/>
        <v>2500</v>
      </c>
      <c r="I511" s="91"/>
      <c r="J511" s="81"/>
    </row>
    <row r="512" spans="1:10" x14ac:dyDescent="0.25">
      <c r="A512" s="84">
        <v>46287</v>
      </c>
      <c r="B512" s="17" t="s">
        <v>382</v>
      </c>
      <c r="C512" s="17"/>
      <c r="D512" s="17" t="s">
        <v>248</v>
      </c>
      <c r="E512" s="17"/>
      <c r="F512" s="17">
        <v>1</v>
      </c>
      <c r="G512" s="76">
        <v>7000</v>
      </c>
      <c r="H512" s="19">
        <f t="shared" si="23"/>
        <v>7000</v>
      </c>
      <c r="I512" s="91"/>
      <c r="J512" s="81"/>
    </row>
    <row r="513" spans="1:12" x14ac:dyDescent="0.25">
      <c r="A513" s="84">
        <v>46287</v>
      </c>
      <c r="B513" s="17" t="s">
        <v>444</v>
      </c>
      <c r="C513" s="17"/>
      <c r="D513" s="17" t="s">
        <v>277</v>
      </c>
      <c r="E513" s="17"/>
      <c r="F513" s="17">
        <v>11</v>
      </c>
      <c r="G513" s="76">
        <v>1500</v>
      </c>
      <c r="H513" s="19">
        <f t="shared" si="23"/>
        <v>16500</v>
      </c>
      <c r="I513" s="91"/>
      <c r="J513" s="81"/>
    </row>
    <row r="514" spans="1:12" x14ac:dyDescent="0.25">
      <c r="A514" s="84">
        <v>46287</v>
      </c>
      <c r="B514" s="17" t="s">
        <v>398</v>
      </c>
      <c r="C514" s="17"/>
      <c r="D514" s="17" t="s">
        <v>638</v>
      </c>
      <c r="E514" s="17"/>
      <c r="F514" s="17">
        <v>1</v>
      </c>
      <c r="G514" s="76">
        <v>30000</v>
      </c>
      <c r="H514" s="19">
        <f t="shared" si="23"/>
        <v>30000</v>
      </c>
      <c r="I514" s="91"/>
      <c r="J514" s="81"/>
    </row>
    <row r="515" spans="1:12" x14ac:dyDescent="0.25">
      <c r="A515" s="84">
        <v>46287</v>
      </c>
      <c r="B515" s="17" t="s">
        <v>398</v>
      </c>
      <c r="C515" s="17"/>
      <c r="D515" s="17" t="s">
        <v>311</v>
      </c>
      <c r="E515" s="17"/>
      <c r="F515" s="17">
        <v>1</v>
      </c>
      <c r="G515" s="76">
        <v>9000</v>
      </c>
      <c r="H515" s="19">
        <f t="shared" si="23"/>
        <v>9000</v>
      </c>
      <c r="I515" s="91"/>
      <c r="J515" s="81"/>
    </row>
    <row r="516" spans="1:12" x14ac:dyDescent="0.25">
      <c r="A516" s="84">
        <v>46287</v>
      </c>
      <c r="B516" s="17" t="s">
        <v>382</v>
      </c>
      <c r="C516" s="17"/>
      <c r="D516" s="17" t="s">
        <v>630</v>
      </c>
      <c r="E516" s="17"/>
      <c r="F516" s="17">
        <v>1</v>
      </c>
      <c r="G516" s="76">
        <v>10000</v>
      </c>
      <c r="H516" s="19">
        <f t="shared" si="23"/>
        <v>10000</v>
      </c>
      <c r="I516" s="91"/>
      <c r="J516" s="81"/>
    </row>
    <row r="517" spans="1:12" x14ac:dyDescent="0.25">
      <c r="A517" s="84">
        <v>46287</v>
      </c>
      <c r="B517" s="17" t="s">
        <v>382</v>
      </c>
      <c r="C517" s="17"/>
      <c r="D517" s="17" t="s">
        <v>451</v>
      </c>
      <c r="E517" s="17"/>
      <c r="F517" s="17">
        <v>1</v>
      </c>
      <c r="G517" s="76">
        <v>4500</v>
      </c>
      <c r="H517" s="19">
        <f t="shared" si="23"/>
        <v>4500</v>
      </c>
      <c r="I517" s="91"/>
      <c r="J517" s="81"/>
    </row>
    <row r="518" spans="1:12" x14ac:dyDescent="0.25">
      <c r="A518" s="84">
        <v>46287</v>
      </c>
      <c r="B518" s="17" t="s">
        <v>382</v>
      </c>
      <c r="C518" s="17"/>
      <c r="D518" s="17" t="s">
        <v>187</v>
      </c>
      <c r="E518" s="17"/>
      <c r="F518" s="17">
        <v>1</v>
      </c>
      <c r="G518" s="76">
        <v>9000</v>
      </c>
      <c r="H518" s="19">
        <f t="shared" si="23"/>
        <v>9000</v>
      </c>
      <c r="I518" s="91"/>
      <c r="J518" s="81"/>
    </row>
    <row r="519" spans="1:12" x14ac:dyDescent="0.25">
      <c r="A519" s="84">
        <v>46287</v>
      </c>
      <c r="B519" s="17" t="s">
        <v>398</v>
      </c>
      <c r="C519" s="17"/>
      <c r="D519" s="17" t="s">
        <v>242</v>
      </c>
      <c r="E519" s="17"/>
      <c r="F519" s="17">
        <v>1</v>
      </c>
      <c r="G519" s="76">
        <v>19000</v>
      </c>
      <c r="H519" s="19">
        <f t="shared" si="23"/>
        <v>19000</v>
      </c>
      <c r="I519" s="91"/>
      <c r="J519" s="81"/>
    </row>
    <row r="520" spans="1:12" x14ac:dyDescent="0.25">
      <c r="A520" s="84">
        <v>46287</v>
      </c>
      <c r="B520" s="17" t="s">
        <v>444</v>
      </c>
      <c r="C520" s="17"/>
      <c r="D520" s="17" t="s">
        <v>660</v>
      </c>
      <c r="E520" s="17"/>
      <c r="F520" s="17">
        <v>1</v>
      </c>
      <c r="G520" s="76">
        <v>4500</v>
      </c>
      <c r="H520" s="19">
        <f t="shared" si="23"/>
        <v>4500</v>
      </c>
      <c r="I520" s="91"/>
      <c r="J520" s="81"/>
    </row>
    <row r="521" spans="1:12" x14ac:dyDescent="0.25">
      <c r="A521" s="84">
        <v>46287</v>
      </c>
      <c r="B521" s="17" t="s">
        <v>382</v>
      </c>
      <c r="C521" s="17"/>
      <c r="D521" s="17" t="s">
        <v>119</v>
      </c>
      <c r="E521" s="17"/>
      <c r="F521" s="17">
        <v>1</v>
      </c>
      <c r="G521" s="76">
        <v>10000</v>
      </c>
      <c r="H521" s="19">
        <f t="shared" si="23"/>
        <v>10000</v>
      </c>
      <c r="I521" s="91"/>
      <c r="J521" s="81"/>
    </row>
    <row r="522" spans="1:12" x14ac:dyDescent="0.25">
      <c r="A522" s="84">
        <v>46287</v>
      </c>
      <c r="B522" s="17" t="s">
        <v>662</v>
      </c>
      <c r="C522" s="17"/>
      <c r="D522" s="17" t="s">
        <v>578</v>
      </c>
      <c r="E522" s="17"/>
      <c r="F522" s="17">
        <v>1</v>
      </c>
      <c r="G522" s="76">
        <v>30000</v>
      </c>
      <c r="H522" s="19">
        <f t="shared" si="23"/>
        <v>30000</v>
      </c>
      <c r="I522" s="91"/>
      <c r="J522" s="81"/>
    </row>
    <row r="523" spans="1:12" x14ac:dyDescent="0.25">
      <c r="A523" s="84">
        <v>46287</v>
      </c>
      <c r="B523" s="17" t="s">
        <v>662</v>
      </c>
      <c r="C523" s="17"/>
      <c r="D523" s="17" t="s">
        <v>423</v>
      </c>
      <c r="E523" s="17"/>
      <c r="F523" s="17">
        <v>1</v>
      </c>
      <c r="G523" s="76">
        <v>9000</v>
      </c>
      <c r="H523" s="19">
        <f t="shared" si="23"/>
        <v>9000</v>
      </c>
      <c r="I523" s="91"/>
      <c r="J523" s="81"/>
    </row>
    <row r="524" spans="1:12" x14ac:dyDescent="0.25">
      <c r="A524" s="84">
        <v>46287</v>
      </c>
      <c r="B524" s="17" t="s">
        <v>662</v>
      </c>
      <c r="C524" s="17"/>
      <c r="D524" s="17" t="s">
        <v>643</v>
      </c>
      <c r="E524" s="17"/>
      <c r="F524" s="17">
        <v>1</v>
      </c>
      <c r="G524" s="76">
        <v>10000</v>
      </c>
      <c r="H524" s="19">
        <f t="shared" si="23"/>
        <v>10000</v>
      </c>
      <c r="I524" s="91"/>
      <c r="J524" s="81"/>
    </row>
    <row r="525" spans="1:12" x14ac:dyDescent="0.25">
      <c r="A525" s="84">
        <v>46287</v>
      </c>
      <c r="B525" s="17" t="s">
        <v>444</v>
      </c>
      <c r="C525" s="17"/>
      <c r="D525" s="17" t="s">
        <v>660</v>
      </c>
      <c r="E525" s="17"/>
      <c r="F525" s="17">
        <v>1</v>
      </c>
      <c r="G525" s="76">
        <v>4500</v>
      </c>
      <c r="H525" s="19">
        <f t="shared" si="23"/>
        <v>4500</v>
      </c>
      <c r="I525" s="91"/>
      <c r="J525" s="81"/>
    </row>
    <row r="526" spans="1:12" s="99" customFormat="1" ht="15.75" thickBot="1" x14ac:dyDescent="0.3">
      <c r="A526" s="94">
        <v>46287</v>
      </c>
      <c r="B526" s="95" t="s">
        <v>663</v>
      </c>
      <c r="C526" s="95"/>
      <c r="D526" s="95" t="s">
        <v>451</v>
      </c>
      <c r="E526" s="95"/>
      <c r="F526" s="95">
        <v>1</v>
      </c>
      <c r="G526" s="96">
        <v>4500</v>
      </c>
      <c r="H526" s="97">
        <f t="shared" si="23"/>
        <v>4500</v>
      </c>
      <c r="I526" s="102"/>
      <c r="J526" s="98"/>
      <c r="K526"/>
      <c r="L526"/>
    </row>
    <row r="527" spans="1:12" ht="15.75" thickBot="1" x14ac:dyDescent="0.3">
      <c r="A527" s="94">
        <v>46288</v>
      </c>
      <c r="B527" s="107" t="s">
        <v>382</v>
      </c>
      <c r="C527" s="107"/>
      <c r="D527" s="107" t="s">
        <v>389</v>
      </c>
      <c r="E527" s="107"/>
      <c r="F527" s="107">
        <v>1</v>
      </c>
      <c r="G527" s="108">
        <v>10000</v>
      </c>
      <c r="H527" s="109">
        <f t="shared" si="23"/>
        <v>10000</v>
      </c>
      <c r="I527" s="100">
        <f>SUM(H527)</f>
        <v>10000</v>
      </c>
      <c r="J527" s="98"/>
    </row>
    <row r="528" spans="1:12" x14ac:dyDescent="0.25">
      <c r="A528" s="84">
        <v>46294</v>
      </c>
      <c r="B528" s="85" t="s">
        <v>331</v>
      </c>
      <c r="C528" s="85"/>
      <c r="D528" s="85" t="s">
        <v>668</v>
      </c>
      <c r="E528" s="85"/>
      <c r="F528" s="85">
        <v>4</v>
      </c>
      <c r="G528" s="86">
        <v>10000</v>
      </c>
      <c r="H528" s="87">
        <f t="shared" si="23"/>
        <v>40000</v>
      </c>
      <c r="I528" s="91">
        <f>SUM(H528:H536)</f>
        <v>160500</v>
      </c>
      <c r="J528" s="81"/>
    </row>
    <row r="529" spans="1:10" x14ac:dyDescent="0.25">
      <c r="A529" s="84">
        <v>46294</v>
      </c>
      <c r="B529" s="85" t="s">
        <v>331</v>
      </c>
      <c r="C529" s="17"/>
      <c r="D529" s="17" t="s">
        <v>669</v>
      </c>
      <c r="E529" s="17"/>
      <c r="F529" s="17">
        <v>6</v>
      </c>
      <c r="G529" s="76">
        <v>6500</v>
      </c>
      <c r="H529" s="19">
        <f t="shared" si="23"/>
        <v>39000</v>
      </c>
      <c r="I529" s="91"/>
      <c r="J529" s="81"/>
    </row>
    <row r="530" spans="1:10" x14ac:dyDescent="0.25">
      <c r="A530" s="84">
        <v>46294</v>
      </c>
      <c r="B530" s="17" t="s">
        <v>433</v>
      </c>
      <c r="C530" s="17"/>
      <c r="D530" s="17" t="s">
        <v>134</v>
      </c>
      <c r="E530" s="17"/>
      <c r="F530" s="17">
        <v>1</v>
      </c>
      <c r="G530" s="76">
        <v>3500</v>
      </c>
      <c r="H530" s="19">
        <f t="shared" si="23"/>
        <v>3500</v>
      </c>
      <c r="I530" s="91"/>
      <c r="J530" s="81"/>
    </row>
    <row r="531" spans="1:10" x14ac:dyDescent="0.25">
      <c r="A531" s="84">
        <v>46294</v>
      </c>
      <c r="B531" s="17" t="s">
        <v>327</v>
      </c>
      <c r="C531" s="17"/>
      <c r="D531" s="17" t="s">
        <v>672</v>
      </c>
      <c r="E531" s="17"/>
      <c r="F531" s="17">
        <v>3</v>
      </c>
      <c r="G531" s="76">
        <v>10000</v>
      </c>
      <c r="H531" s="19">
        <f t="shared" si="23"/>
        <v>30000</v>
      </c>
      <c r="I531" s="91"/>
      <c r="J531" s="81"/>
    </row>
    <row r="532" spans="1:10" x14ac:dyDescent="0.25">
      <c r="A532" s="84">
        <v>46294</v>
      </c>
      <c r="B532" s="17" t="s">
        <v>327</v>
      </c>
      <c r="C532" s="17"/>
      <c r="D532" s="17" t="s">
        <v>673</v>
      </c>
      <c r="E532" s="17"/>
      <c r="F532" s="17">
        <v>2</v>
      </c>
      <c r="G532" s="76">
        <v>10000</v>
      </c>
      <c r="H532" s="19">
        <f t="shared" si="23"/>
        <v>20000</v>
      </c>
      <c r="I532" s="91"/>
      <c r="J532" s="81"/>
    </row>
    <row r="533" spans="1:10" x14ac:dyDescent="0.25">
      <c r="A533" s="84">
        <v>46294</v>
      </c>
      <c r="B533" s="17" t="s">
        <v>327</v>
      </c>
      <c r="C533" s="17"/>
      <c r="D533" s="17" t="s">
        <v>417</v>
      </c>
      <c r="E533" s="17"/>
      <c r="F533" s="17">
        <v>2</v>
      </c>
      <c r="G533" s="76">
        <v>7000</v>
      </c>
      <c r="H533" s="19">
        <f t="shared" si="23"/>
        <v>14000</v>
      </c>
      <c r="I533" s="91"/>
      <c r="J533" s="81"/>
    </row>
    <row r="534" spans="1:10" x14ac:dyDescent="0.25">
      <c r="A534" s="84">
        <v>46294</v>
      </c>
      <c r="B534" s="17" t="s">
        <v>633</v>
      </c>
      <c r="C534" s="17"/>
      <c r="D534" s="17" t="s">
        <v>619</v>
      </c>
      <c r="E534" s="17"/>
      <c r="F534" s="17">
        <v>2</v>
      </c>
      <c r="G534" s="76">
        <v>3000</v>
      </c>
      <c r="H534" s="19">
        <f t="shared" si="23"/>
        <v>6000</v>
      </c>
      <c r="I534" s="91"/>
      <c r="J534" s="81"/>
    </row>
    <row r="535" spans="1:10" x14ac:dyDescent="0.25">
      <c r="A535" s="84">
        <v>46294</v>
      </c>
      <c r="B535" s="17" t="s">
        <v>633</v>
      </c>
      <c r="C535" s="17"/>
      <c r="D535" s="17" t="s">
        <v>674</v>
      </c>
      <c r="E535" s="17"/>
      <c r="F535" s="17">
        <v>2</v>
      </c>
      <c r="G535" s="76">
        <v>2500</v>
      </c>
      <c r="H535" s="19">
        <f t="shared" si="23"/>
        <v>5000</v>
      </c>
      <c r="I535" s="91"/>
      <c r="J535" s="81"/>
    </row>
    <row r="536" spans="1:10" s="99" customFormat="1" ht="15.75" thickBot="1" x14ac:dyDescent="0.3">
      <c r="A536" s="94">
        <v>46294</v>
      </c>
      <c r="B536" s="95" t="s">
        <v>327</v>
      </c>
      <c r="C536" s="95"/>
      <c r="D536" s="95" t="s">
        <v>675</v>
      </c>
      <c r="E536" s="95"/>
      <c r="F536" s="95">
        <v>1</v>
      </c>
      <c r="G536" s="96">
        <v>3000</v>
      </c>
      <c r="H536" s="97">
        <f t="shared" si="23"/>
        <v>3000</v>
      </c>
      <c r="I536" s="102"/>
      <c r="J536" s="98"/>
    </row>
    <row r="537" spans="1:10" ht="15.75" thickBot="1" x14ac:dyDescent="0.3">
      <c r="A537" s="115">
        <v>46295</v>
      </c>
      <c r="B537" s="110" t="s">
        <v>382</v>
      </c>
      <c r="C537" s="110"/>
      <c r="D537" s="110" t="s">
        <v>277</v>
      </c>
      <c r="E537" s="110"/>
      <c r="F537" s="110">
        <v>1</v>
      </c>
      <c r="G537" s="111">
        <v>10000</v>
      </c>
      <c r="H537" s="112">
        <f t="shared" si="23"/>
        <v>10000</v>
      </c>
      <c r="I537" s="113">
        <f>SUM(H537)</f>
        <v>10000</v>
      </c>
      <c r="J537" s="114"/>
    </row>
    <row r="538" spans="1:10" x14ac:dyDescent="0.25">
      <c r="A538" s="84">
        <v>46296</v>
      </c>
      <c r="B538" s="85" t="s">
        <v>327</v>
      </c>
      <c r="C538" s="85"/>
      <c r="D538" s="85" t="s">
        <v>678</v>
      </c>
      <c r="E538" s="85"/>
      <c r="F538" s="85">
        <v>4</v>
      </c>
      <c r="G538" s="86">
        <v>10000</v>
      </c>
      <c r="H538" s="87">
        <f t="shared" si="23"/>
        <v>40000</v>
      </c>
      <c r="I538" s="91">
        <f>SUM(H538:H565)</f>
        <v>487500</v>
      </c>
      <c r="J538" s="81"/>
    </row>
    <row r="539" spans="1:10" x14ac:dyDescent="0.25">
      <c r="A539" s="84">
        <v>46296</v>
      </c>
      <c r="B539" s="17" t="s">
        <v>679</v>
      </c>
      <c r="C539" s="17"/>
      <c r="D539" s="17" t="s">
        <v>680</v>
      </c>
      <c r="E539" s="17"/>
      <c r="F539" s="17">
        <v>2</v>
      </c>
      <c r="G539" s="76">
        <v>3000</v>
      </c>
      <c r="H539" s="19">
        <f t="shared" si="23"/>
        <v>6000</v>
      </c>
      <c r="I539" s="91"/>
      <c r="J539" s="81"/>
    </row>
    <row r="540" spans="1:10" x14ac:dyDescent="0.25">
      <c r="A540" s="84">
        <v>46296</v>
      </c>
      <c r="B540" s="17" t="s">
        <v>402</v>
      </c>
      <c r="C540" s="17"/>
      <c r="D540" s="17" t="s">
        <v>41</v>
      </c>
      <c r="E540" s="17"/>
      <c r="F540" s="17">
        <v>1</v>
      </c>
      <c r="G540" s="76">
        <v>25000</v>
      </c>
      <c r="H540" s="19">
        <f t="shared" si="23"/>
        <v>25000</v>
      </c>
      <c r="I540" s="91"/>
      <c r="J540" s="81"/>
    </row>
    <row r="541" spans="1:10" x14ac:dyDescent="0.25">
      <c r="A541" s="84">
        <v>46296</v>
      </c>
      <c r="B541" s="17" t="s">
        <v>681</v>
      </c>
      <c r="C541" s="17"/>
      <c r="D541" s="17" t="s">
        <v>643</v>
      </c>
      <c r="E541" s="17"/>
      <c r="F541" s="17">
        <v>1</v>
      </c>
      <c r="G541" s="76">
        <v>10000</v>
      </c>
      <c r="H541" s="19">
        <f t="shared" si="23"/>
        <v>10000</v>
      </c>
      <c r="I541" s="91"/>
      <c r="J541" s="81"/>
    </row>
    <row r="542" spans="1:10" x14ac:dyDescent="0.25">
      <c r="A542" s="84">
        <v>46296</v>
      </c>
      <c r="B542" s="17" t="s">
        <v>681</v>
      </c>
      <c r="C542" s="17"/>
      <c r="D542" s="17" t="s">
        <v>421</v>
      </c>
      <c r="E542" s="17"/>
      <c r="F542" s="17">
        <v>1</v>
      </c>
      <c r="G542" s="76">
        <v>10000</v>
      </c>
      <c r="H542" s="19">
        <f t="shared" si="23"/>
        <v>10000</v>
      </c>
      <c r="I542" s="91"/>
      <c r="J542" s="81"/>
    </row>
    <row r="543" spans="1:10" x14ac:dyDescent="0.25">
      <c r="A543" s="84">
        <v>46296</v>
      </c>
      <c r="B543" s="17" t="s">
        <v>681</v>
      </c>
      <c r="C543" s="17"/>
      <c r="D543" s="17" t="s">
        <v>600</v>
      </c>
      <c r="E543" s="17"/>
      <c r="F543" s="17">
        <v>4</v>
      </c>
      <c r="G543" s="76">
        <v>6500</v>
      </c>
      <c r="H543" s="19">
        <f t="shared" si="23"/>
        <v>26000</v>
      </c>
      <c r="I543" s="91"/>
      <c r="J543" s="81"/>
    </row>
    <row r="544" spans="1:10" x14ac:dyDescent="0.25">
      <c r="A544" s="84">
        <v>46296</v>
      </c>
      <c r="B544" s="17" t="s">
        <v>683</v>
      </c>
      <c r="C544" s="17"/>
      <c r="D544" s="17" t="s">
        <v>612</v>
      </c>
      <c r="E544" s="17"/>
      <c r="F544" s="17">
        <v>1</v>
      </c>
      <c r="G544" s="76">
        <v>30000</v>
      </c>
      <c r="H544" s="19">
        <f t="shared" si="23"/>
        <v>30000</v>
      </c>
      <c r="I544" s="91"/>
      <c r="J544" s="81"/>
    </row>
    <row r="545" spans="1:10" x14ac:dyDescent="0.25">
      <c r="A545" s="84">
        <v>46296</v>
      </c>
      <c r="B545" s="17" t="s">
        <v>683</v>
      </c>
      <c r="C545" s="17"/>
      <c r="D545" s="17" t="s">
        <v>600</v>
      </c>
      <c r="E545" s="17"/>
      <c r="F545" s="17">
        <v>2</v>
      </c>
      <c r="G545" s="76">
        <v>6500</v>
      </c>
      <c r="H545" s="19">
        <f t="shared" si="23"/>
        <v>13000</v>
      </c>
      <c r="I545" s="91"/>
      <c r="J545" s="81"/>
    </row>
    <row r="546" spans="1:10" x14ac:dyDescent="0.25">
      <c r="A546" s="84">
        <v>46296</v>
      </c>
      <c r="B546" s="17" t="s">
        <v>683</v>
      </c>
      <c r="C546" s="17"/>
      <c r="D546" s="17" t="s">
        <v>449</v>
      </c>
      <c r="E546" s="17"/>
      <c r="F546" s="17">
        <v>1</v>
      </c>
      <c r="G546" s="76">
        <v>25000</v>
      </c>
      <c r="H546" s="19">
        <f t="shared" si="23"/>
        <v>25000</v>
      </c>
      <c r="I546" s="91"/>
      <c r="J546" s="81"/>
    </row>
    <row r="547" spans="1:10" x14ac:dyDescent="0.25">
      <c r="A547" s="84">
        <v>46296</v>
      </c>
      <c r="B547" s="17" t="s">
        <v>683</v>
      </c>
      <c r="C547" s="17"/>
      <c r="D547" s="17" t="s">
        <v>684</v>
      </c>
      <c r="E547" s="17"/>
      <c r="F547" s="17">
        <v>2</v>
      </c>
      <c r="G547" s="76">
        <v>4000</v>
      </c>
      <c r="H547" s="19">
        <f t="shared" si="23"/>
        <v>8000</v>
      </c>
      <c r="I547" s="91"/>
      <c r="J547" s="81"/>
    </row>
    <row r="548" spans="1:10" x14ac:dyDescent="0.25">
      <c r="A548" s="84">
        <v>46296</v>
      </c>
      <c r="B548" s="17" t="s">
        <v>683</v>
      </c>
      <c r="C548" s="17"/>
      <c r="D548" s="17" t="s">
        <v>685</v>
      </c>
      <c r="E548" s="17"/>
      <c r="F548" s="17">
        <v>2</v>
      </c>
      <c r="G548" s="76">
        <v>3000</v>
      </c>
      <c r="H548" s="19">
        <f t="shared" si="23"/>
        <v>6000</v>
      </c>
      <c r="I548" s="91"/>
      <c r="J548" s="81"/>
    </row>
    <row r="549" spans="1:10" x14ac:dyDescent="0.25">
      <c r="A549" s="84">
        <v>46296</v>
      </c>
      <c r="B549" s="17" t="s">
        <v>683</v>
      </c>
      <c r="C549" s="17"/>
      <c r="D549" s="17" t="s">
        <v>674</v>
      </c>
      <c r="E549" s="17"/>
      <c r="F549" s="17">
        <v>2</v>
      </c>
      <c r="G549" s="76">
        <v>2500</v>
      </c>
      <c r="H549" s="19">
        <f t="shared" si="23"/>
        <v>5000</v>
      </c>
      <c r="I549" s="91"/>
      <c r="J549" s="81"/>
    </row>
    <row r="550" spans="1:10" x14ac:dyDescent="0.25">
      <c r="A550" s="84">
        <v>46296</v>
      </c>
      <c r="B550" s="17" t="s">
        <v>683</v>
      </c>
      <c r="C550" s="17"/>
      <c r="D550" s="17" t="s">
        <v>551</v>
      </c>
      <c r="E550" s="17"/>
      <c r="F550" s="17">
        <v>1</v>
      </c>
      <c r="G550" s="76">
        <v>7000</v>
      </c>
      <c r="H550" s="19">
        <f t="shared" si="23"/>
        <v>7000</v>
      </c>
      <c r="I550" s="91"/>
      <c r="J550" s="81"/>
    </row>
    <row r="551" spans="1:10" x14ac:dyDescent="0.25">
      <c r="A551" s="84">
        <v>46296</v>
      </c>
      <c r="B551" s="17" t="s">
        <v>683</v>
      </c>
      <c r="C551" s="17"/>
      <c r="D551" s="17" t="s">
        <v>618</v>
      </c>
      <c r="E551" s="17"/>
      <c r="F551" s="17">
        <v>2</v>
      </c>
      <c r="G551" s="76">
        <v>2500</v>
      </c>
      <c r="H551" s="19">
        <f t="shared" si="23"/>
        <v>5000</v>
      </c>
      <c r="I551" s="91"/>
      <c r="J551" s="81"/>
    </row>
    <row r="552" spans="1:10" x14ac:dyDescent="0.25">
      <c r="A552" s="84">
        <v>46296</v>
      </c>
      <c r="B552" s="17" t="s">
        <v>433</v>
      </c>
      <c r="C552" s="17"/>
      <c r="D552" s="17" t="s">
        <v>686</v>
      </c>
      <c r="E552" s="17"/>
      <c r="F552" s="17">
        <v>2</v>
      </c>
      <c r="G552" s="76">
        <v>4000</v>
      </c>
      <c r="H552" s="19">
        <f t="shared" si="23"/>
        <v>8000</v>
      </c>
      <c r="I552" s="91"/>
      <c r="J552" s="81"/>
    </row>
    <row r="553" spans="1:10" x14ac:dyDescent="0.25">
      <c r="A553" s="84">
        <v>46296</v>
      </c>
      <c r="B553" s="17" t="s">
        <v>687</v>
      </c>
      <c r="C553" s="17"/>
      <c r="D553" s="17" t="s">
        <v>688</v>
      </c>
      <c r="E553" s="17"/>
      <c r="F553" s="17">
        <v>1</v>
      </c>
      <c r="G553" s="76">
        <v>60000</v>
      </c>
      <c r="H553" s="19">
        <f t="shared" si="23"/>
        <v>60000</v>
      </c>
      <c r="I553" s="91"/>
      <c r="J553" s="81"/>
    </row>
    <row r="554" spans="1:10" x14ac:dyDescent="0.25">
      <c r="A554" s="84">
        <v>46296</v>
      </c>
      <c r="B554" s="17" t="s">
        <v>687</v>
      </c>
      <c r="C554" s="17"/>
      <c r="D554" s="17" t="s">
        <v>147</v>
      </c>
      <c r="E554" s="17"/>
      <c r="F554" s="17">
        <v>1</v>
      </c>
      <c r="G554" s="76">
        <v>60000</v>
      </c>
      <c r="H554" s="19">
        <f t="shared" si="23"/>
        <v>60000</v>
      </c>
      <c r="I554" s="91"/>
      <c r="J554" s="81"/>
    </row>
    <row r="555" spans="1:10" x14ac:dyDescent="0.25">
      <c r="A555" s="84">
        <v>46296</v>
      </c>
      <c r="B555" s="17" t="s">
        <v>687</v>
      </c>
      <c r="C555" s="17"/>
      <c r="D555" s="17" t="s">
        <v>555</v>
      </c>
      <c r="E555" s="17"/>
      <c r="F555" s="17">
        <v>1</v>
      </c>
      <c r="G555" s="76">
        <v>50000</v>
      </c>
      <c r="H555" s="19">
        <f t="shared" si="23"/>
        <v>50000</v>
      </c>
      <c r="I555" s="91"/>
      <c r="J555" s="81"/>
    </row>
    <row r="556" spans="1:10" x14ac:dyDescent="0.25">
      <c r="A556" s="84">
        <v>46296</v>
      </c>
      <c r="B556" s="17" t="s">
        <v>689</v>
      </c>
      <c r="C556" s="17"/>
      <c r="D556" s="17" t="s">
        <v>103</v>
      </c>
      <c r="E556" s="17"/>
      <c r="F556" s="17">
        <v>1</v>
      </c>
      <c r="G556" s="76">
        <v>3500</v>
      </c>
      <c r="H556" s="19">
        <f t="shared" si="23"/>
        <v>3500</v>
      </c>
      <c r="I556" s="91"/>
      <c r="J556" s="81"/>
    </row>
    <row r="557" spans="1:10" x14ac:dyDescent="0.25">
      <c r="A557" s="84">
        <v>46296</v>
      </c>
      <c r="B557" s="17" t="s">
        <v>689</v>
      </c>
      <c r="C557" s="17"/>
      <c r="D557" s="17" t="s">
        <v>685</v>
      </c>
      <c r="E557" s="17"/>
      <c r="F557" s="17">
        <v>1</v>
      </c>
      <c r="G557" s="76">
        <v>3000</v>
      </c>
      <c r="H557" s="19">
        <f t="shared" si="23"/>
        <v>3000</v>
      </c>
      <c r="I557" s="91"/>
      <c r="J557" s="81"/>
    </row>
    <row r="558" spans="1:10" x14ac:dyDescent="0.25">
      <c r="A558" s="84">
        <v>46296</v>
      </c>
      <c r="B558" s="17" t="s">
        <v>689</v>
      </c>
      <c r="C558" s="17"/>
      <c r="D558" s="17" t="s">
        <v>690</v>
      </c>
      <c r="E558" s="17"/>
      <c r="F558" s="17">
        <v>1</v>
      </c>
      <c r="G558" s="76">
        <v>3000</v>
      </c>
      <c r="H558" s="19">
        <f t="shared" si="23"/>
        <v>3000</v>
      </c>
      <c r="I558" s="91"/>
      <c r="J558" s="81"/>
    </row>
    <row r="559" spans="1:10" x14ac:dyDescent="0.25">
      <c r="A559" s="84">
        <v>46296</v>
      </c>
      <c r="B559" s="17" t="s">
        <v>689</v>
      </c>
      <c r="C559" s="17"/>
      <c r="D559" s="17" t="s">
        <v>674</v>
      </c>
      <c r="E559" s="17"/>
      <c r="F559" s="17">
        <v>1</v>
      </c>
      <c r="G559" s="76">
        <v>2500</v>
      </c>
      <c r="H559" s="19">
        <f t="shared" si="23"/>
        <v>2500</v>
      </c>
      <c r="I559" s="91"/>
      <c r="J559" s="81"/>
    </row>
    <row r="560" spans="1:10" x14ac:dyDescent="0.25">
      <c r="A560" s="84">
        <v>46296</v>
      </c>
      <c r="B560" s="17" t="s">
        <v>689</v>
      </c>
      <c r="C560" s="17"/>
      <c r="D560" s="17" t="s">
        <v>152</v>
      </c>
      <c r="E560" s="17"/>
      <c r="F560" s="17">
        <v>1</v>
      </c>
      <c r="G560" s="76">
        <v>12000</v>
      </c>
      <c r="H560" s="19">
        <f t="shared" si="23"/>
        <v>12000</v>
      </c>
      <c r="I560" s="91"/>
      <c r="J560" s="81"/>
    </row>
    <row r="561" spans="1:10" x14ac:dyDescent="0.25">
      <c r="A561" s="84">
        <v>46296</v>
      </c>
      <c r="B561" s="17" t="s">
        <v>436</v>
      </c>
      <c r="C561" s="17"/>
      <c r="D561" s="17" t="s">
        <v>692</v>
      </c>
      <c r="E561" s="17"/>
      <c r="F561" s="17">
        <v>1</v>
      </c>
      <c r="G561" s="76">
        <v>6000</v>
      </c>
      <c r="H561" s="19">
        <f t="shared" si="23"/>
        <v>6000</v>
      </c>
      <c r="I561" s="91"/>
      <c r="J561" s="81"/>
    </row>
    <row r="562" spans="1:10" x14ac:dyDescent="0.25">
      <c r="A562" s="84">
        <v>46296</v>
      </c>
      <c r="B562" s="17" t="s">
        <v>436</v>
      </c>
      <c r="C562" s="17"/>
      <c r="D562" s="17" t="s">
        <v>392</v>
      </c>
      <c r="E562" s="17"/>
      <c r="F562" s="17">
        <v>1</v>
      </c>
      <c r="G562" s="76">
        <v>4500</v>
      </c>
      <c r="H562" s="19">
        <f t="shared" si="23"/>
        <v>4500</v>
      </c>
      <c r="I562" s="91"/>
      <c r="J562" s="81"/>
    </row>
    <row r="563" spans="1:10" x14ac:dyDescent="0.25">
      <c r="A563" s="84">
        <v>46296</v>
      </c>
      <c r="B563" s="17" t="s">
        <v>693</v>
      </c>
      <c r="C563" s="17"/>
      <c r="D563" s="17" t="s">
        <v>171</v>
      </c>
      <c r="E563" s="17"/>
      <c r="F563" s="17">
        <v>4</v>
      </c>
      <c r="G563" s="76">
        <v>6500</v>
      </c>
      <c r="H563" s="19">
        <f t="shared" si="23"/>
        <v>26000</v>
      </c>
      <c r="I563" s="91"/>
      <c r="J563" s="81"/>
    </row>
    <row r="564" spans="1:10" x14ac:dyDescent="0.25">
      <c r="A564" s="84">
        <v>46296</v>
      </c>
      <c r="B564" s="17" t="s">
        <v>693</v>
      </c>
      <c r="C564" s="17"/>
      <c r="D564" s="17" t="s">
        <v>461</v>
      </c>
      <c r="E564" s="17"/>
      <c r="F564" s="17">
        <v>4</v>
      </c>
      <c r="G564" s="76">
        <v>6000</v>
      </c>
      <c r="H564" s="19">
        <f t="shared" si="23"/>
        <v>24000</v>
      </c>
      <c r="I564" s="91"/>
      <c r="J564" s="81"/>
    </row>
    <row r="565" spans="1:10" ht="15.75" thickBot="1" x14ac:dyDescent="0.3">
      <c r="A565" s="94">
        <v>46296</v>
      </c>
      <c r="B565" s="95" t="s">
        <v>382</v>
      </c>
      <c r="C565" s="95"/>
      <c r="D565" s="95" t="s">
        <v>579</v>
      </c>
      <c r="E565" s="95"/>
      <c r="F565" s="95">
        <v>1</v>
      </c>
      <c r="G565" s="96">
        <v>9000</v>
      </c>
      <c r="H565" s="97">
        <f t="shared" si="23"/>
        <v>9000</v>
      </c>
      <c r="I565" s="102"/>
      <c r="J565" s="98"/>
    </row>
    <row r="566" spans="1:10" x14ac:dyDescent="0.25">
      <c r="A566" s="84">
        <v>46297</v>
      </c>
      <c r="B566" s="85" t="s">
        <v>694</v>
      </c>
      <c r="C566" s="85"/>
      <c r="D566" s="85" t="s">
        <v>325</v>
      </c>
      <c r="E566" s="85"/>
      <c r="F566" s="85">
        <v>5</v>
      </c>
      <c r="G566" s="86">
        <v>8000</v>
      </c>
      <c r="H566" s="87">
        <f t="shared" ref="H566:H582" si="24">F566*G566</f>
        <v>40000</v>
      </c>
      <c r="I566" s="91">
        <f>SUM(H566:H590)</f>
        <v>307000</v>
      </c>
      <c r="J566" s="81"/>
    </row>
    <row r="567" spans="1:10" x14ac:dyDescent="0.25">
      <c r="A567" s="84">
        <v>46297</v>
      </c>
      <c r="B567" s="17" t="s">
        <v>398</v>
      </c>
      <c r="C567" s="17"/>
      <c r="D567" s="17" t="s">
        <v>674</v>
      </c>
      <c r="E567" s="17"/>
      <c r="F567" s="17">
        <v>1</v>
      </c>
      <c r="G567" s="76">
        <v>2500</v>
      </c>
      <c r="H567" s="19">
        <f t="shared" si="24"/>
        <v>2500</v>
      </c>
      <c r="I567" s="91"/>
      <c r="J567" s="81"/>
    </row>
    <row r="568" spans="1:10" x14ac:dyDescent="0.25">
      <c r="A568" s="84">
        <v>46297</v>
      </c>
      <c r="B568" s="17" t="s">
        <v>695</v>
      </c>
      <c r="C568" s="17"/>
      <c r="D568" s="17" t="s">
        <v>696</v>
      </c>
      <c r="E568" s="17"/>
      <c r="F568" s="17">
        <v>4</v>
      </c>
      <c r="G568" s="76">
        <v>2500</v>
      </c>
      <c r="H568" s="19">
        <f t="shared" si="24"/>
        <v>10000</v>
      </c>
      <c r="I568" s="91"/>
      <c r="J568" s="81"/>
    </row>
    <row r="569" spans="1:10" x14ac:dyDescent="0.25">
      <c r="A569" s="84">
        <v>46297</v>
      </c>
      <c r="B569" s="17" t="s">
        <v>695</v>
      </c>
      <c r="C569" s="17"/>
      <c r="D569" s="17" t="s">
        <v>704</v>
      </c>
      <c r="E569" s="17"/>
      <c r="F569" s="17">
        <v>2</v>
      </c>
      <c r="G569" s="76">
        <v>3500</v>
      </c>
      <c r="H569" s="19">
        <f t="shared" si="24"/>
        <v>7000</v>
      </c>
      <c r="I569" s="91"/>
      <c r="J569" s="81"/>
    </row>
    <row r="570" spans="1:10" x14ac:dyDescent="0.25">
      <c r="A570" s="84">
        <v>46297</v>
      </c>
      <c r="B570" s="17" t="s">
        <v>327</v>
      </c>
      <c r="C570" s="17"/>
      <c r="D570" s="17" t="s">
        <v>697</v>
      </c>
      <c r="E570" s="17"/>
      <c r="F570" s="17">
        <v>1</v>
      </c>
      <c r="G570" s="76">
        <v>2000</v>
      </c>
      <c r="H570" s="19">
        <f t="shared" si="24"/>
        <v>2000</v>
      </c>
      <c r="I570" s="91"/>
      <c r="J570" s="81"/>
    </row>
    <row r="571" spans="1:10" x14ac:dyDescent="0.25">
      <c r="A571" s="84">
        <v>46297</v>
      </c>
      <c r="B571" s="17" t="s">
        <v>327</v>
      </c>
      <c r="C571" s="17"/>
      <c r="D571" s="17" t="s">
        <v>134</v>
      </c>
      <c r="E571" s="17"/>
      <c r="F571" s="17">
        <v>1</v>
      </c>
      <c r="G571" s="76">
        <v>3500</v>
      </c>
      <c r="H571" s="19">
        <f t="shared" si="24"/>
        <v>3500</v>
      </c>
      <c r="I571" s="91"/>
      <c r="J571" s="81"/>
    </row>
    <row r="572" spans="1:10" x14ac:dyDescent="0.25">
      <c r="A572" s="84">
        <v>46297</v>
      </c>
      <c r="B572" s="17" t="s">
        <v>698</v>
      </c>
      <c r="C572" s="17"/>
      <c r="D572" s="17" t="s">
        <v>405</v>
      </c>
      <c r="E572" s="17"/>
      <c r="F572" s="17">
        <v>1</v>
      </c>
      <c r="G572" s="76">
        <v>25000</v>
      </c>
      <c r="H572" s="19">
        <f t="shared" si="24"/>
        <v>25000</v>
      </c>
      <c r="I572" s="91"/>
      <c r="J572" s="81"/>
    </row>
    <row r="573" spans="1:10" x14ac:dyDescent="0.25">
      <c r="A573" s="84">
        <v>46297</v>
      </c>
      <c r="B573" s="17" t="s">
        <v>698</v>
      </c>
      <c r="C573" s="17"/>
      <c r="D573" s="17" t="s">
        <v>708</v>
      </c>
      <c r="E573" s="17"/>
      <c r="F573" s="17">
        <v>1</v>
      </c>
      <c r="G573" s="76">
        <v>9500</v>
      </c>
      <c r="H573" s="19">
        <f t="shared" si="24"/>
        <v>9500</v>
      </c>
      <c r="I573" s="91"/>
      <c r="J573" s="81"/>
    </row>
    <row r="574" spans="1:10" x14ac:dyDescent="0.25">
      <c r="A574" s="84">
        <v>46297</v>
      </c>
      <c r="B574" s="17" t="s">
        <v>698</v>
      </c>
      <c r="C574" s="17"/>
      <c r="D574" s="17" t="s">
        <v>612</v>
      </c>
      <c r="E574" s="17"/>
      <c r="F574" s="17">
        <v>1</v>
      </c>
      <c r="G574" s="76">
        <v>30000</v>
      </c>
      <c r="H574" s="19">
        <f t="shared" si="24"/>
        <v>30000</v>
      </c>
      <c r="I574" s="91"/>
      <c r="J574" s="81"/>
    </row>
    <row r="575" spans="1:10" x14ac:dyDescent="0.25">
      <c r="A575" s="84">
        <v>46297</v>
      </c>
      <c r="B575" s="17" t="s">
        <v>698</v>
      </c>
      <c r="C575" s="17"/>
      <c r="D575" s="17" t="s">
        <v>699</v>
      </c>
      <c r="E575" s="17"/>
      <c r="F575" s="17">
        <v>1</v>
      </c>
      <c r="G575" s="76">
        <v>500</v>
      </c>
      <c r="H575" s="19">
        <f t="shared" si="24"/>
        <v>500</v>
      </c>
      <c r="I575" s="91"/>
      <c r="J575" s="81"/>
    </row>
    <row r="576" spans="1:10" x14ac:dyDescent="0.25">
      <c r="A576" s="84">
        <v>46297</v>
      </c>
      <c r="B576" s="17" t="s">
        <v>327</v>
      </c>
      <c r="C576" s="17"/>
      <c r="D576" s="17" t="s">
        <v>325</v>
      </c>
      <c r="E576" s="17"/>
      <c r="F576" s="17">
        <v>3</v>
      </c>
      <c r="G576" s="76">
        <v>8000</v>
      </c>
      <c r="H576" s="19">
        <f t="shared" si="24"/>
        <v>24000</v>
      </c>
      <c r="I576" s="91"/>
      <c r="J576" s="81"/>
    </row>
    <row r="577" spans="1:10" x14ac:dyDescent="0.25">
      <c r="A577" s="84">
        <v>46297</v>
      </c>
      <c r="B577" s="17" t="s">
        <v>327</v>
      </c>
      <c r="C577" s="17"/>
      <c r="D577" s="17" t="s">
        <v>401</v>
      </c>
      <c r="E577" s="17"/>
      <c r="F577" s="17">
        <v>1</v>
      </c>
      <c r="G577" s="76">
        <v>14000</v>
      </c>
      <c r="H577" s="19">
        <f t="shared" si="24"/>
        <v>14000</v>
      </c>
      <c r="I577" s="91"/>
      <c r="J577" s="81"/>
    </row>
    <row r="578" spans="1:10" x14ac:dyDescent="0.25">
      <c r="A578" s="84">
        <v>46297</v>
      </c>
      <c r="B578" s="17" t="s">
        <v>327</v>
      </c>
      <c r="C578" s="17"/>
      <c r="D578" s="17" t="s">
        <v>211</v>
      </c>
      <c r="E578" s="17"/>
      <c r="F578" s="17">
        <v>1</v>
      </c>
      <c r="G578" s="76">
        <v>9000</v>
      </c>
      <c r="H578" s="19">
        <f t="shared" si="24"/>
        <v>9000</v>
      </c>
      <c r="I578" s="91"/>
      <c r="J578" s="81"/>
    </row>
    <row r="579" spans="1:10" x14ac:dyDescent="0.25">
      <c r="A579" s="84">
        <v>46297</v>
      </c>
      <c r="B579" s="17" t="s">
        <v>327</v>
      </c>
      <c r="C579" s="17"/>
      <c r="D579" s="17" t="s">
        <v>709</v>
      </c>
      <c r="E579" s="17"/>
      <c r="F579" s="17">
        <v>1</v>
      </c>
      <c r="G579" s="76">
        <v>15000</v>
      </c>
      <c r="H579" s="19">
        <f t="shared" si="24"/>
        <v>15000</v>
      </c>
      <c r="I579" s="91"/>
      <c r="J579" s="81"/>
    </row>
    <row r="580" spans="1:10" x14ac:dyDescent="0.25">
      <c r="A580" s="84">
        <v>46297</v>
      </c>
      <c r="B580" s="17" t="s">
        <v>327</v>
      </c>
      <c r="C580" s="17"/>
      <c r="D580" s="17" t="s">
        <v>440</v>
      </c>
      <c r="E580" s="17"/>
      <c r="F580" s="17">
        <v>1</v>
      </c>
      <c r="G580" s="76">
        <v>8000</v>
      </c>
      <c r="H580" s="19">
        <f t="shared" si="24"/>
        <v>8000</v>
      </c>
      <c r="I580" s="91"/>
      <c r="J580" s="81"/>
    </row>
    <row r="581" spans="1:10" x14ac:dyDescent="0.25">
      <c r="A581" s="84">
        <v>46297</v>
      </c>
      <c r="B581" s="17" t="s">
        <v>327</v>
      </c>
      <c r="C581" s="17"/>
      <c r="D581" s="17" t="s">
        <v>684</v>
      </c>
      <c r="E581" s="17"/>
      <c r="F581" s="17">
        <v>2</v>
      </c>
      <c r="G581" s="76">
        <v>4000</v>
      </c>
      <c r="H581" s="19">
        <f t="shared" si="24"/>
        <v>8000</v>
      </c>
      <c r="I581" s="91"/>
      <c r="J581" s="81"/>
    </row>
    <row r="582" spans="1:10" x14ac:dyDescent="0.25">
      <c r="A582" s="84">
        <v>46297</v>
      </c>
      <c r="B582" s="17" t="s">
        <v>327</v>
      </c>
      <c r="C582" s="17"/>
      <c r="D582" s="17" t="s">
        <v>700</v>
      </c>
      <c r="E582" s="17"/>
      <c r="F582" s="17">
        <v>1</v>
      </c>
      <c r="G582" s="76">
        <v>10000</v>
      </c>
      <c r="H582" s="19">
        <f t="shared" si="24"/>
        <v>10000</v>
      </c>
      <c r="I582" s="91"/>
      <c r="J582" s="81"/>
    </row>
    <row r="583" spans="1:10" x14ac:dyDescent="0.25">
      <c r="A583" s="84">
        <v>46297</v>
      </c>
      <c r="B583" s="17" t="s">
        <v>327</v>
      </c>
      <c r="C583" s="17"/>
      <c r="D583" s="17" t="s">
        <v>250</v>
      </c>
      <c r="E583" s="17"/>
      <c r="F583" s="17">
        <v>1</v>
      </c>
      <c r="G583" s="76">
        <v>3500</v>
      </c>
      <c r="H583" s="19">
        <f t="shared" ref="H583:H590" si="25">F583*G583</f>
        <v>3500</v>
      </c>
      <c r="I583" s="91"/>
      <c r="J583" s="81"/>
    </row>
    <row r="584" spans="1:10" x14ac:dyDescent="0.25">
      <c r="A584" s="84">
        <v>46297</v>
      </c>
      <c r="B584" s="17" t="s">
        <v>327</v>
      </c>
      <c r="C584" s="17"/>
      <c r="D584" s="17" t="s">
        <v>701</v>
      </c>
      <c r="E584" s="17"/>
      <c r="F584" s="17">
        <v>1</v>
      </c>
      <c r="G584" s="76">
        <v>6000</v>
      </c>
      <c r="H584" s="19">
        <f t="shared" si="25"/>
        <v>6000</v>
      </c>
      <c r="I584" s="91"/>
      <c r="J584" s="81"/>
    </row>
    <row r="585" spans="1:10" x14ac:dyDescent="0.25">
      <c r="A585" s="84">
        <v>46297</v>
      </c>
      <c r="B585" s="17" t="s">
        <v>702</v>
      </c>
      <c r="C585" s="17"/>
      <c r="D585" s="17" t="s">
        <v>710</v>
      </c>
      <c r="E585" s="17"/>
      <c r="F585" s="17">
        <v>1</v>
      </c>
      <c r="G585" s="76">
        <v>19000</v>
      </c>
      <c r="H585" s="19">
        <f t="shared" si="25"/>
        <v>19000</v>
      </c>
      <c r="I585" s="91"/>
      <c r="J585" s="81"/>
    </row>
    <row r="586" spans="1:10" x14ac:dyDescent="0.25">
      <c r="A586" s="84">
        <v>46297</v>
      </c>
      <c r="B586" s="17" t="s">
        <v>702</v>
      </c>
      <c r="C586" s="17"/>
      <c r="D586" s="17" t="s">
        <v>248</v>
      </c>
      <c r="E586" s="17"/>
      <c r="F586" s="17">
        <v>1</v>
      </c>
      <c r="G586" s="76">
        <v>7000</v>
      </c>
      <c r="H586" s="19">
        <f t="shared" si="25"/>
        <v>7000</v>
      </c>
      <c r="I586" s="91"/>
      <c r="J586" s="81"/>
    </row>
    <row r="587" spans="1:10" x14ac:dyDescent="0.25">
      <c r="A587" s="84">
        <v>46297</v>
      </c>
      <c r="B587" s="17" t="s">
        <v>702</v>
      </c>
      <c r="C587" s="17"/>
      <c r="D587" s="17" t="s">
        <v>407</v>
      </c>
      <c r="E587" s="17"/>
      <c r="F587" s="17">
        <v>1</v>
      </c>
      <c r="G587" s="76">
        <v>14000</v>
      </c>
      <c r="H587" s="19">
        <f t="shared" si="25"/>
        <v>14000</v>
      </c>
      <c r="I587" s="91"/>
      <c r="J587" s="81"/>
    </row>
    <row r="588" spans="1:10" x14ac:dyDescent="0.25">
      <c r="A588" s="84">
        <v>46297</v>
      </c>
      <c r="B588" s="17" t="s">
        <v>702</v>
      </c>
      <c r="C588" s="17"/>
      <c r="D588" s="17" t="s">
        <v>187</v>
      </c>
      <c r="E588" s="17"/>
      <c r="F588" s="17">
        <v>2</v>
      </c>
      <c r="G588" s="76">
        <v>10000</v>
      </c>
      <c r="H588" s="19">
        <f t="shared" si="25"/>
        <v>20000</v>
      </c>
      <c r="I588" s="91"/>
      <c r="J588" s="81"/>
    </row>
    <row r="589" spans="1:10" s="99" customFormat="1" ht="15.75" thickBot="1" x14ac:dyDescent="0.3">
      <c r="A589" s="84">
        <v>46297</v>
      </c>
      <c r="B589" s="95" t="s">
        <v>702</v>
      </c>
      <c r="C589" s="95"/>
      <c r="D589" s="95" t="s">
        <v>703</v>
      </c>
      <c r="E589" s="95"/>
      <c r="F589" s="95">
        <v>1</v>
      </c>
      <c r="G589" s="96">
        <v>12000</v>
      </c>
      <c r="H589" s="97">
        <f t="shared" si="25"/>
        <v>12000</v>
      </c>
      <c r="I589" s="102"/>
      <c r="J589" s="98"/>
    </row>
    <row r="590" spans="1:10" x14ac:dyDescent="0.25">
      <c r="A590" s="84">
        <v>46298</v>
      </c>
      <c r="B590" s="85" t="s">
        <v>707</v>
      </c>
      <c r="C590" s="85"/>
      <c r="D590" s="85" t="s">
        <v>513</v>
      </c>
      <c r="E590" s="85"/>
      <c r="F590" s="85">
        <v>1</v>
      </c>
      <c r="G590" s="86">
        <v>7500</v>
      </c>
      <c r="H590" s="87">
        <f t="shared" si="25"/>
        <v>7500</v>
      </c>
      <c r="I590" s="91">
        <f>SUM(H590:H598)</f>
        <v>110000</v>
      </c>
      <c r="J590" s="81"/>
    </row>
    <row r="591" spans="1:10" x14ac:dyDescent="0.25">
      <c r="A591" s="84">
        <v>46298</v>
      </c>
      <c r="B591" s="17" t="s">
        <v>707</v>
      </c>
      <c r="C591" s="17"/>
      <c r="D591" s="17" t="s">
        <v>734</v>
      </c>
      <c r="E591" s="17"/>
      <c r="F591" s="17">
        <v>1</v>
      </c>
      <c r="G591" s="76">
        <v>30000</v>
      </c>
      <c r="H591" s="19">
        <f>F591*G591</f>
        <v>30000</v>
      </c>
      <c r="I591" s="91"/>
      <c r="J591" s="81"/>
    </row>
    <row r="592" spans="1:10" x14ac:dyDescent="0.25">
      <c r="A592" s="84">
        <v>46298</v>
      </c>
      <c r="B592" s="17" t="s">
        <v>382</v>
      </c>
      <c r="C592" s="17"/>
      <c r="D592" s="17" t="s">
        <v>596</v>
      </c>
      <c r="E592" s="17"/>
      <c r="F592" s="17">
        <v>3</v>
      </c>
      <c r="G592" s="76">
        <v>6500</v>
      </c>
      <c r="H592" s="19">
        <f>F592*G592</f>
        <v>19500</v>
      </c>
      <c r="I592" s="91"/>
      <c r="J592" s="81"/>
    </row>
    <row r="593" spans="1:10" x14ac:dyDescent="0.25">
      <c r="A593" s="84">
        <v>46298</v>
      </c>
      <c r="B593" s="17" t="s">
        <v>444</v>
      </c>
      <c r="C593" s="17"/>
      <c r="D593" s="17" t="s">
        <v>248</v>
      </c>
      <c r="E593" s="17"/>
      <c r="F593" s="17">
        <v>3</v>
      </c>
      <c r="G593" s="76">
        <v>7000</v>
      </c>
      <c r="H593" s="19">
        <f>F593*G593</f>
        <v>21000</v>
      </c>
      <c r="I593" s="91"/>
      <c r="J593" s="81"/>
    </row>
    <row r="594" spans="1:10" x14ac:dyDescent="0.25">
      <c r="A594" s="84">
        <v>46298</v>
      </c>
      <c r="B594" s="17" t="s">
        <v>444</v>
      </c>
      <c r="C594" s="17"/>
      <c r="D594" s="17" t="s">
        <v>99</v>
      </c>
      <c r="E594" s="17"/>
      <c r="F594" s="17">
        <v>1</v>
      </c>
      <c r="G594" s="76">
        <v>3000</v>
      </c>
      <c r="H594" s="19">
        <f>F594*G594</f>
        <v>3000</v>
      </c>
      <c r="I594" s="91"/>
      <c r="J594" s="81"/>
    </row>
    <row r="595" spans="1:10" x14ac:dyDescent="0.25">
      <c r="A595" s="84">
        <v>46298</v>
      </c>
      <c r="B595" s="17" t="s">
        <v>444</v>
      </c>
      <c r="C595" s="17"/>
      <c r="D595" s="17" t="s">
        <v>200</v>
      </c>
      <c r="E595" s="17"/>
      <c r="F595" s="17">
        <v>1</v>
      </c>
      <c r="G595" s="76">
        <v>3000</v>
      </c>
      <c r="H595" s="19">
        <f>F595*G595</f>
        <v>3000</v>
      </c>
      <c r="I595" s="91"/>
      <c r="J595" s="81"/>
    </row>
    <row r="596" spans="1:10" x14ac:dyDescent="0.25">
      <c r="A596" s="84">
        <v>46298</v>
      </c>
      <c r="B596" s="17" t="s">
        <v>398</v>
      </c>
      <c r="C596" s="17"/>
      <c r="D596" s="17" t="s">
        <v>130</v>
      </c>
      <c r="E596" s="17"/>
      <c r="F596" s="17">
        <v>1</v>
      </c>
      <c r="G596" s="76">
        <v>3000</v>
      </c>
      <c r="H596" s="19">
        <f t="shared" ref="H596:H659" si="26">F596*G596</f>
        <v>3000</v>
      </c>
      <c r="I596" s="91"/>
      <c r="J596" s="81"/>
    </row>
    <row r="597" spans="1:10" x14ac:dyDescent="0.25">
      <c r="A597" s="84">
        <v>46298</v>
      </c>
      <c r="B597" s="17" t="s">
        <v>398</v>
      </c>
      <c r="C597" s="17"/>
      <c r="D597" s="17" t="s">
        <v>717</v>
      </c>
      <c r="E597" s="17"/>
      <c r="F597" s="17">
        <v>2</v>
      </c>
      <c r="G597" s="76">
        <v>8000</v>
      </c>
      <c r="H597" s="19">
        <f t="shared" si="26"/>
        <v>16000</v>
      </c>
      <c r="I597" s="91"/>
      <c r="J597" s="81"/>
    </row>
    <row r="598" spans="1:10" ht="15.75" thickBot="1" x14ac:dyDescent="0.3">
      <c r="A598" s="94">
        <v>46298</v>
      </c>
      <c r="B598" s="17" t="s">
        <v>398</v>
      </c>
      <c r="C598" s="95"/>
      <c r="D598" s="95" t="s">
        <v>717</v>
      </c>
      <c r="E598" s="95"/>
      <c r="F598" s="95">
        <v>1</v>
      </c>
      <c r="G598" s="96">
        <v>7000</v>
      </c>
      <c r="H598" s="97">
        <f t="shared" si="26"/>
        <v>7000</v>
      </c>
      <c r="I598" s="100"/>
      <c r="J598" s="81"/>
    </row>
    <row r="599" spans="1:10" x14ac:dyDescent="0.25">
      <c r="A599" s="84">
        <v>46299</v>
      </c>
      <c r="B599" s="85" t="s">
        <v>382</v>
      </c>
      <c r="C599" s="85"/>
      <c r="D599" s="85" t="s">
        <v>240</v>
      </c>
      <c r="E599" s="85"/>
      <c r="F599" s="85">
        <v>1</v>
      </c>
      <c r="G599" s="86">
        <v>22000</v>
      </c>
      <c r="H599" s="87">
        <f t="shared" si="26"/>
        <v>22000</v>
      </c>
      <c r="I599" s="91">
        <f>SUM(H599:H618)</f>
        <v>299500</v>
      </c>
      <c r="J599" s="81"/>
    </row>
    <row r="600" spans="1:10" x14ac:dyDescent="0.25">
      <c r="A600" s="84">
        <v>46299</v>
      </c>
      <c r="B600" s="17" t="s">
        <v>517</v>
      </c>
      <c r="C600" s="17"/>
      <c r="D600" s="17" t="s">
        <v>94</v>
      </c>
      <c r="E600" s="17"/>
      <c r="F600" s="17">
        <v>2</v>
      </c>
      <c r="G600" s="76">
        <v>3000</v>
      </c>
      <c r="H600" s="19">
        <f t="shared" si="26"/>
        <v>6000</v>
      </c>
      <c r="I600" s="91"/>
      <c r="J600" s="81"/>
    </row>
    <row r="601" spans="1:10" x14ac:dyDescent="0.25">
      <c r="A601" s="84">
        <v>46299</v>
      </c>
      <c r="B601" s="17" t="s">
        <v>482</v>
      </c>
      <c r="C601" s="17"/>
      <c r="D601" s="17" t="s">
        <v>451</v>
      </c>
      <c r="E601" s="17"/>
      <c r="F601" s="17">
        <v>2</v>
      </c>
      <c r="G601" s="76">
        <v>4500</v>
      </c>
      <c r="H601" s="19">
        <f t="shared" si="26"/>
        <v>9000</v>
      </c>
      <c r="I601" s="91"/>
      <c r="J601" s="81"/>
    </row>
    <row r="602" spans="1:10" x14ac:dyDescent="0.25">
      <c r="A602" s="84">
        <v>46299</v>
      </c>
      <c r="B602" s="17" t="s">
        <v>482</v>
      </c>
      <c r="C602" s="17"/>
      <c r="D602" s="17" t="s">
        <v>171</v>
      </c>
      <c r="E602" s="17"/>
      <c r="F602" s="17">
        <v>6</v>
      </c>
      <c r="G602" s="76">
        <v>6500</v>
      </c>
      <c r="H602" s="19">
        <f t="shared" si="26"/>
        <v>39000</v>
      </c>
      <c r="I602" s="91"/>
      <c r="J602" s="81"/>
    </row>
    <row r="603" spans="1:10" x14ac:dyDescent="0.25">
      <c r="A603" s="84">
        <v>46299</v>
      </c>
      <c r="B603" s="17" t="s">
        <v>482</v>
      </c>
      <c r="C603" s="17"/>
      <c r="D603" s="17" t="s">
        <v>738</v>
      </c>
      <c r="E603" s="17"/>
      <c r="F603" s="17">
        <v>1</v>
      </c>
      <c r="G603" s="76">
        <v>35000</v>
      </c>
      <c r="H603" s="19">
        <f t="shared" si="26"/>
        <v>35000</v>
      </c>
      <c r="I603" s="91"/>
      <c r="J603" s="81"/>
    </row>
    <row r="604" spans="1:10" x14ac:dyDescent="0.25">
      <c r="A604" s="84">
        <v>46299</v>
      </c>
      <c r="B604" s="17" t="s">
        <v>482</v>
      </c>
      <c r="C604" s="17"/>
      <c r="D604" s="17" t="s">
        <v>725</v>
      </c>
      <c r="E604" s="17"/>
      <c r="F604" s="17">
        <v>1</v>
      </c>
      <c r="G604" s="76">
        <v>30000</v>
      </c>
      <c r="H604" s="19">
        <f t="shared" si="26"/>
        <v>30000</v>
      </c>
      <c r="I604" s="91"/>
      <c r="J604" s="81"/>
    </row>
    <row r="605" spans="1:10" x14ac:dyDescent="0.25">
      <c r="A605" s="84">
        <v>46299</v>
      </c>
      <c r="B605" s="17" t="s">
        <v>482</v>
      </c>
      <c r="C605" s="17"/>
      <c r="D605" s="17" t="s">
        <v>715</v>
      </c>
      <c r="E605" s="17"/>
      <c r="F605" s="17">
        <v>1</v>
      </c>
      <c r="G605" s="76">
        <v>7500</v>
      </c>
      <c r="H605" s="19">
        <f t="shared" si="26"/>
        <v>7500</v>
      </c>
      <c r="I605" s="91"/>
      <c r="J605" s="81"/>
    </row>
    <row r="606" spans="1:10" x14ac:dyDescent="0.25">
      <c r="A606" s="84">
        <v>46299</v>
      </c>
      <c r="B606" s="17" t="s">
        <v>482</v>
      </c>
      <c r="C606" s="17"/>
      <c r="D606" s="17" t="s">
        <v>515</v>
      </c>
      <c r="E606" s="17"/>
      <c r="F606" s="17">
        <v>1</v>
      </c>
      <c r="G606" s="76">
        <v>10000</v>
      </c>
      <c r="H606" s="19">
        <f t="shared" si="26"/>
        <v>10000</v>
      </c>
      <c r="I606" s="91"/>
      <c r="J606" s="81"/>
    </row>
    <row r="607" spans="1:10" x14ac:dyDescent="0.25">
      <c r="A607" s="84">
        <v>46299</v>
      </c>
      <c r="B607" s="17" t="s">
        <v>482</v>
      </c>
      <c r="C607" s="17"/>
      <c r="D607" s="17" t="s">
        <v>197</v>
      </c>
      <c r="E607" s="17"/>
      <c r="F607" s="17">
        <v>1</v>
      </c>
      <c r="G607" s="76">
        <v>19000</v>
      </c>
      <c r="H607" s="19">
        <f t="shared" si="26"/>
        <v>19000</v>
      </c>
      <c r="I607" s="91"/>
      <c r="J607" s="81"/>
    </row>
    <row r="608" spans="1:10" x14ac:dyDescent="0.25">
      <c r="A608" s="84">
        <v>46299</v>
      </c>
      <c r="B608" s="17" t="s">
        <v>482</v>
      </c>
      <c r="C608" s="17"/>
      <c r="D608" s="17" t="s">
        <v>211</v>
      </c>
      <c r="E608" s="17"/>
      <c r="F608" s="17">
        <v>2</v>
      </c>
      <c r="G608" s="76">
        <v>9000</v>
      </c>
      <c r="H608" s="19">
        <f t="shared" si="26"/>
        <v>18000</v>
      </c>
      <c r="I608" s="91"/>
      <c r="J608" s="81"/>
    </row>
    <row r="609" spans="1:10" x14ac:dyDescent="0.25">
      <c r="A609" s="84">
        <v>46299</v>
      </c>
      <c r="B609" s="17" t="s">
        <v>482</v>
      </c>
      <c r="C609" s="17"/>
      <c r="D609" s="17" t="s">
        <v>739</v>
      </c>
      <c r="E609" s="17"/>
      <c r="F609" s="17">
        <v>2</v>
      </c>
      <c r="G609" s="76">
        <v>3000</v>
      </c>
      <c r="H609" s="19">
        <f t="shared" si="26"/>
        <v>6000</v>
      </c>
      <c r="I609" s="91"/>
      <c r="J609" s="81"/>
    </row>
    <row r="610" spans="1:10" x14ac:dyDescent="0.25">
      <c r="A610" s="84">
        <v>46299</v>
      </c>
      <c r="B610" s="17" t="s">
        <v>516</v>
      </c>
      <c r="C610" s="17"/>
      <c r="D610" s="17" t="s">
        <v>503</v>
      </c>
      <c r="E610" s="17"/>
      <c r="F610" s="17">
        <v>1</v>
      </c>
      <c r="G610" s="76">
        <v>10000</v>
      </c>
      <c r="H610" s="19">
        <f t="shared" si="26"/>
        <v>10000</v>
      </c>
      <c r="I610" s="91"/>
      <c r="J610" s="81"/>
    </row>
    <row r="611" spans="1:10" x14ac:dyDescent="0.25">
      <c r="A611" s="84">
        <v>46299</v>
      </c>
      <c r="B611" s="17" t="s">
        <v>516</v>
      </c>
      <c r="C611" s="17"/>
      <c r="D611" s="17" t="s">
        <v>740</v>
      </c>
      <c r="E611" s="17"/>
      <c r="F611" s="17">
        <v>1</v>
      </c>
      <c r="G611" s="76">
        <v>20000</v>
      </c>
      <c r="H611" s="19">
        <f t="shared" si="26"/>
        <v>20000</v>
      </c>
      <c r="I611" s="91"/>
      <c r="J611" s="81"/>
    </row>
    <row r="612" spans="1:10" x14ac:dyDescent="0.25">
      <c r="A612" s="84">
        <v>46299</v>
      </c>
      <c r="B612" s="17" t="s">
        <v>516</v>
      </c>
      <c r="C612" s="17"/>
      <c r="D612" s="17" t="s">
        <v>362</v>
      </c>
      <c r="E612" s="17"/>
      <c r="F612" s="17">
        <v>9</v>
      </c>
      <c r="G612" s="76">
        <v>3000</v>
      </c>
      <c r="H612" s="19">
        <f t="shared" si="26"/>
        <v>27000</v>
      </c>
      <c r="I612" s="91"/>
      <c r="J612" s="81"/>
    </row>
    <row r="613" spans="1:10" x14ac:dyDescent="0.25">
      <c r="A613" s="84">
        <v>46299</v>
      </c>
      <c r="B613" s="17" t="s">
        <v>516</v>
      </c>
      <c r="C613" s="17"/>
      <c r="D613" s="17" t="s">
        <v>94</v>
      </c>
      <c r="E613" s="17"/>
      <c r="F613" s="17">
        <v>1</v>
      </c>
      <c r="G613" s="76">
        <v>10000</v>
      </c>
      <c r="H613" s="19">
        <f t="shared" si="26"/>
        <v>10000</v>
      </c>
      <c r="I613" s="91"/>
      <c r="J613" s="81"/>
    </row>
    <row r="614" spans="1:10" x14ac:dyDescent="0.25">
      <c r="A614" s="84">
        <v>46299</v>
      </c>
      <c r="B614" s="17" t="s">
        <v>382</v>
      </c>
      <c r="C614" s="17"/>
      <c r="D614" s="17" t="s">
        <v>674</v>
      </c>
      <c r="E614" s="17"/>
      <c r="F614" s="17">
        <v>2</v>
      </c>
      <c r="G614" s="76">
        <v>2500</v>
      </c>
      <c r="H614" s="19">
        <f t="shared" si="26"/>
        <v>5000</v>
      </c>
      <c r="I614" s="91"/>
      <c r="J614" s="81"/>
    </row>
    <row r="615" spans="1:10" x14ac:dyDescent="0.25">
      <c r="A615" s="134">
        <v>46299</v>
      </c>
      <c r="B615" s="135" t="s">
        <v>444</v>
      </c>
      <c r="C615" s="135"/>
      <c r="D615" s="135" t="s">
        <v>733</v>
      </c>
      <c r="E615" s="135"/>
      <c r="F615" s="135">
        <v>1</v>
      </c>
      <c r="G615" s="136">
        <v>2000</v>
      </c>
      <c r="H615" s="137">
        <f t="shared" si="26"/>
        <v>2000</v>
      </c>
      <c r="I615" s="91"/>
      <c r="J615" s="81"/>
    </row>
    <row r="616" spans="1:10" ht="15.75" thickBot="1" x14ac:dyDescent="0.3">
      <c r="A616" s="106">
        <v>46299</v>
      </c>
      <c r="B616" s="95" t="s">
        <v>444</v>
      </c>
      <c r="C616" s="95"/>
      <c r="D616" s="95" t="s">
        <v>98</v>
      </c>
      <c r="E616" s="95"/>
      <c r="F616" s="95">
        <v>1</v>
      </c>
      <c r="G616" s="96">
        <v>3000</v>
      </c>
      <c r="H616" s="97">
        <f t="shared" si="26"/>
        <v>3000</v>
      </c>
      <c r="I616" s="138"/>
      <c r="J616" s="139"/>
    </row>
    <row r="617" spans="1:10" x14ac:dyDescent="0.25">
      <c r="A617" s="84">
        <v>46300</v>
      </c>
      <c r="B617" s="85" t="s">
        <v>741</v>
      </c>
      <c r="C617" s="85"/>
      <c r="D617" s="85" t="s">
        <v>211</v>
      </c>
      <c r="E617" s="85"/>
      <c r="F617" s="85">
        <v>1</v>
      </c>
      <c r="G617" s="86">
        <v>15000</v>
      </c>
      <c r="H617" s="87">
        <f t="shared" si="26"/>
        <v>15000</v>
      </c>
      <c r="I617" s="91">
        <f>SUM(H617:H630)</f>
        <v>108500</v>
      </c>
      <c r="J617" s="81"/>
    </row>
    <row r="618" spans="1:10" x14ac:dyDescent="0.25">
      <c r="A618" s="84">
        <v>46300</v>
      </c>
      <c r="B618" s="85" t="s">
        <v>741</v>
      </c>
      <c r="C618" s="17"/>
      <c r="D618" s="17" t="s">
        <v>742</v>
      </c>
      <c r="E618" s="17"/>
      <c r="F618" s="17">
        <v>1</v>
      </c>
      <c r="G618" s="76">
        <v>6000</v>
      </c>
      <c r="H618" s="19">
        <f t="shared" si="26"/>
        <v>6000</v>
      </c>
      <c r="I618" s="91"/>
      <c r="J618" s="81"/>
    </row>
    <row r="619" spans="1:10" x14ac:dyDescent="0.25">
      <c r="A619" s="84">
        <v>46300</v>
      </c>
      <c r="B619" s="17" t="s">
        <v>482</v>
      </c>
      <c r="C619" s="17"/>
      <c r="D619" s="17" t="s">
        <v>98</v>
      </c>
      <c r="E619" s="17"/>
      <c r="F619" s="17">
        <v>1</v>
      </c>
      <c r="G619" s="76">
        <v>2500</v>
      </c>
      <c r="H619" s="19">
        <f t="shared" si="26"/>
        <v>2500</v>
      </c>
      <c r="I619" s="91"/>
      <c r="J619" s="81"/>
    </row>
    <row r="620" spans="1:10" x14ac:dyDescent="0.25">
      <c r="A620" s="84">
        <v>46300</v>
      </c>
      <c r="B620" s="17" t="s">
        <v>482</v>
      </c>
      <c r="C620" s="17"/>
      <c r="D620" s="17" t="s">
        <v>676</v>
      </c>
      <c r="E620" s="17"/>
      <c r="F620" s="17">
        <v>2</v>
      </c>
      <c r="G620" s="76">
        <v>2500</v>
      </c>
      <c r="H620" s="19">
        <f t="shared" si="26"/>
        <v>5000</v>
      </c>
      <c r="I620" s="91"/>
      <c r="J620" s="81"/>
    </row>
    <row r="621" spans="1:10" x14ac:dyDescent="0.25">
      <c r="A621" s="84">
        <v>46300</v>
      </c>
      <c r="B621" s="17" t="s">
        <v>482</v>
      </c>
      <c r="C621" s="17"/>
      <c r="D621" s="17" t="s">
        <v>582</v>
      </c>
      <c r="E621" s="17"/>
      <c r="F621" s="17">
        <v>1</v>
      </c>
      <c r="G621" s="76">
        <v>2500</v>
      </c>
      <c r="H621" s="19">
        <f t="shared" si="26"/>
        <v>2500</v>
      </c>
      <c r="I621" s="91"/>
      <c r="J621" s="81"/>
    </row>
    <row r="622" spans="1:10" x14ac:dyDescent="0.25">
      <c r="A622" s="84">
        <v>46300</v>
      </c>
      <c r="B622" s="17" t="s">
        <v>382</v>
      </c>
      <c r="C622" s="17"/>
      <c r="D622" s="17" t="s">
        <v>674</v>
      </c>
      <c r="E622" s="17"/>
      <c r="F622" s="17">
        <v>1</v>
      </c>
      <c r="G622" s="76">
        <v>2500</v>
      </c>
      <c r="H622" s="19">
        <f t="shared" si="26"/>
        <v>2500</v>
      </c>
      <c r="I622" s="91"/>
      <c r="J622" s="81"/>
    </row>
    <row r="623" spans="1:10" x14ac:dyDescent="0.25">
      <c r="A623" s="84">
        <v>46300</v>
      </c>
      <c r="B623" s="17" t="s">
        <v>382</v>
      </c>
      <c r="C623" s="17"/>
      <c r="D623" s="17" t="s">
        <v>423</v>
      </c>
      <c r="E623" s="17"/>
      <c r="F623" s="17">
        <v>1</v>
      </c>
      <c r="G623" s="76">
        <v>9000</v>
      </c>
      <c r="H623" s="19">
        <f t="shared" si="26"/>
        <v>9000</v>
      </c>
      <c r="I623" s="91"/>
      <c r="J623" s="81"/>
    </row>
    <row r="624" spans="1:10" x14ac:dyDescent="0.25">
      <c r="A624" s="84">
        <v>46300</v>
      </c>
      <c r="B624" s="17" t="s">
        <v>398</v>
      </c>
      <c r="C624" s="17"/>
      <c r="D624" s="17" t="s">
        <v>699</v>
      </c>
      <c r="E624" s="17"/>
      <c r="F624" s="17">
        <v>1</v>
      </c>
      <c r="G624" s="76">
        <v>3000</v>
      </c>
      <c r="H624" s="19">
        <f t="shared" si="26"/>
        <v>3000</v>
      </c>
      <c r="I624" s="91"/>
      <c r="J624" s="81"/>
    </row>
    <row r="625" spans="1:10" x14ac:dyDescent="0.25">
      <c r="A625" s="84">
        <v>46300</v>
      </c>
      <c r="B625" s="17" t="s">
        <v>398</v>
      </c>
      <c r="C625" s="17"/>
      <c r="D625" s="17" t="s">
        <v>423</v>
      </c>
      <c r="E625" s="17"/>
      <c r="F625" s="17">
        <v>1</v>
      </c>
      <c r="G625" s="76">
        <v>9000</v>
      </c>
      <c r="H625" s="19">
        <f t="shared" si="26"/>
        <v>9000</v>
      </c>
      <c r="I625" s="91"/>
      <c r="J625" s="81"/>
    </row>
    <row r="626" spans="1:10" x14ac:dyDescent="0.25">
      <c r="A626" s="84">
        <v>46300</v>
      </c>
      <c r="B626" s="17" t="s">
        <v>429</v>
      </c>
      <c r="C626" s="17"/>
      <c r="D626" s="17" t="s">
        <v>745</v>
      </c>
      <c r="E626" s="17"/>
      <c r="F626" s="17">
        <v>1</v>
      </c>
      <c r="G626" s="76">
        <v>8000</v>
      </c>
      <c r="H626" s="19">
        <f t="shared" si="26"/>
        <v>8000</v>
      </c>
      <c r="I626" s="91"/>
      <c r="J626" s="81"/>
    </row>
    <row r="627" spans="1:10" x14ac:dyDescent="0.25">
      <c r="A627" s="84">
        <v>46300</v>
      </c>
      <c r="B627" s="17" t="s">
        <v>746</v>
      </c>
      <c r="C627" s="17"/>
      <c r="D627" s="17" t="s">
        <v>747</v>
      </c>
      <c r="E627" s="17"/>
      <c r="F627" s="17">
        <v>4</v>
      </c>
      <c r="G627" s="76">
        <v>9000</v>
      </c>
      <c r="H627" s="19">
        <f t="shared" si="26"/>
        <v>36000</v>
      </c>
      <c r="I627" s="91"/>
      <c r="J627" s="81"/>
    </row>
    <row r="628" spans="1:10" x14ac:dyDescent="0.25">
      <c r="A628" s="84">
        <v>46300</v>
      </c>
      <c r="B628" s="17" t="s">
        <v>382</v>
      </c>
      <c r="C628" s="17"/>
      <c r="D628" s="17" t="s">
        <v>748</v>
      </c>
      <c r="E628" s="17"/>
      <c r="F628" s="17">
        <v>1</v>
      </c>
      <c r="G628" s="76">
        <v>3500</v>
      </c>
      <c r="H628" s="19">
        <f t="shared" si="26"/>
        <v>3500</v>
      </c>
      <c r="I628" s="91"/>
      <c r="J628" s="81"/>
    </row>
    <row r="629" spans="1:10" x14ac:dyDescent="0.25">
      <c r="A629" s="84">
        <v>46300</v>
      </c>
      <c r="B629" s="17" t="s">
        <v>382</v>
      </c>
      <c r="C629" s="17"/>
      <c r="D629" s="17" t="s">
        <v>749</v>
      </c>
      <c r="E629" s="17"/>
      <c r="F629" s="17">
        <v>1</v>
      </c>
      <c r="G629" s="76">
        <v>3000</v>
      </c>
      <c r="H629" s="19">
        <f t="shared" si="26"/>
        <v>3000</v>
      </c>
      <c r="I629" s="91"/>
      <c r="J629" s="81"/>
    </row>
    <row r="630" spans="1:10" s="99" customFormat="1" ht="15.75" thickBot="1" x14ac:dyDescent="0.3">
      <c r="A630" s="94">
        <v>46300</v>
      </c>
      <c r="B630" s="95" t="s">
        <v>382</v>
      </c>
      <c r="C630" s="95"/>
      <c r="D630" s="95" t="s">
        <v>735</v>
      </c>
      <c r="E630" s="95"/>
      <c r="F630" s="95">
        <v>1</v>
      </c>
      <c r="G630" s="96">
        <v>3500</v>
      </c>
      <c r="H630" s="97">
        <f t="shared" si="26"/>
        <v>3500</v>
      </c>
      <c r="I630" s="102"/>
      <c r="J630" s="98"/>
    </row>
    <row r="631" spans="1:10" x14ac:dyDescent="0.25">
      <c r="A631" s="84">
        <v>46301</v>
      </c>
      <c r="B631" s="85" t="s">
        <v>382</v>
      </c>
      <c r="C631" s="85"/>
      <c r="D631" s="85" t="s">
        <v>389</v>
      </c>
      <c r="E631" s="85"/>
      <c r="F631" s="85">
        <v>1</v>
      </c>
      <c r="G631" s="86">
        <v>12000</v>
      </c>
      <c r="H631" s="87">
        <f t="shared" si="26"/>
        <v>12000</v>
      </c>
      <c r="I631" s="91">
        <f>SUM(H631:H655)</f>
        <v>344500</v>
      </c>
      <c r="J631" s="81"/>
    </row>
    <row r="632" spans="1:10" x14ac:dyDescent="0.25">
      <c r="A632" s="84">
        <v>46301</v>
      </c>
      <c r="B632" s="85" t="s">
        <v>382</v>
      </c>
      <c r="C632" s="17"/>
      <c r="D632" s="17" t="s">
        <v>503</v>
      </c>
      <c r="E632" s="17"/>
      <c r="F632" s="17">
        <v>1</v>
      </c>
      <c r="G632" s="76">
        <v>10000</v>
      </c>
      <c r="H632" s="19">
        <f t="shared" si="26"/>
        <v>10000</v>
      </c>
      <c r="I632" s="91"/>
      <c r="J632" s="81"/>
    </row>
    <row r="633" spans="1:10" x14ac:dyDescent="0.25">
      <c r="A633" s="84">
        <v>46301</v>
      </c>
      <c r="B633" s="85" t="s">
        <v>382</v>
      </c>
      <c r="C633" s="17"/>
      <c r="D633" s="17" t="s">
        <v>755</v>
      </c>
      <c r="E633" s="17"/>
      <c r="F633" s="17">
        <v>1</v>
      </c>
      <c r="G633" s="76">
        <v>6000</v>
      </c>
      <c r="H633" s="19">
        <f t="shared" si="26"/>
        <v>6000</v>
      </c>
      <c r="I633" s="91"/>
      <c r="J633" s="81"/>
    </row>
    <row r="634" spans="1:10" x14ac:dyDescent="0.25">
      <c r="A634" s="84">
        <v>46301</v>
      </c>
      <c r="B634" s="85" t="s">
        <v>382</v>
      </c>
      <c r="C634" s="17"/>
      <c r="D634" s="17" t="s">
        <v>212</v>
      </c>
      <c r="E634" s="17"/>
      <c r="F634" s="17">
        <v>1</v>
      </c>
      <c r="G634" s="76">
        <v>10000</v>
      </c>
      <c r="H634" s="19">
        <f t="shared" si="26"/>
        <v>10000</v>
      </c>
      <c r="I634" s="91"/>
      <c r="J634" s="81"/>
    </row>
    <row r="635" spans="1:10" x14ac:dyDescent="0.25">
      <c r="A635" s="84">
        <v>46301</v>
      </c>
      <c r="B635" s="85" t="s">
        <v>382</v>
      </c>
      <c r="C635" s="17"/>
      <c r="D635" s="17" t="s">
        <v>755</v>
      </c>
      <c r="E635" s="17"/>
      <c r="F635" s="17">
        <v>2</v>
      </c>
      <c r="G635" s="76">
        <v>6000</v>
      </c>
      <c r="H635" s="19">
        <f t="shared" si="26"/>
        <v>12000</v>
      </c>
      <c r="I635" s="91"/>
      <c r="J635" s="81"/>
    </row>
    <row r="636" spans="1:10" x14ac:dyDescent="0.25">
      <c r="A636" s="84">
        <v>46301</v>
      </c>
      <c r="B636" s="85" t="s">
        <v>382</v>
      </c>
      <c r="C636" s="17"/>
      <c r="D636" s="17" t="s">
        <v>142</v>
      </c>
      <c r="E636" s="17"/>
      <c r="F636" s="17">
        <v>2</v>
      </c>
      <c r="G636" s="76">
        <v>40000</v>
      </c>
      <c r="H636" s="19">
        <f t="shared" si="26"/>
        <v>80000</v>
      </c>
      <c r="I636" s="91"/>
      <c r="J636" s="81"/>
    </row>
    <row r="637" spans="1:10" x14ac:dyDescent="0.25">
      <c r="A637" s="84">
        <v>46301</v>
      </c>
      <c r="B637" s="85" t="s">
        <v>382</v>
      </c>
      <c r="C637" s="17"/>
      <c r="D637" s="17" t="s">
        <v>607</v>
      </c>
      <c r="E637" s="17"/>
      <c r="F637" s="17">
        <v>2</v>
      </c>
      <c r="G637" s="76">
        <v>10500</v>
      </c>
      <c r="H637" s="19">
        <f t="shared" si="26"/>
        <v>21000</v>
      </c>
      <c r="I637" s="91"/>
      <c r="J637" s="81"/>
    </row>
    <row r="638" spans="1:10" x14ac:dyDescent="0.25">
      <c r="A638" s="84">
        <v>46301</v>
      </c>
      <c r="B638" s="85" t="s">
        <v>382</v>
      </c>
      <c r="C638" s="17"/>
      <c r="D638" s="17" t="s">
        <v>97</v>
      </c>
      <c r="E638" s="17"/>
      <c r="F638" s="17">
        <v>2</v>
      </c>
      <c r="G638" s="76">
        <v>2500</v>
      </c>
      <c r="H638" s="19">
        <f t="shared" si="26"/>
        <v>5000</v>
      </c>
      <c r="I638" s="91"/>
      <c r="J638" s="81"/>
    </row>
    <row r="639" spans="1:10" x14ac:dyDescent="0.25">
      <c r="A639" s="84">
        <v>46301</v>
      </c>
      <c r="B639" s="85" t="s">
        <v>382</v>
      </c>
      <c r="C639" s="17"/>
      <c r="D639" s="17" t="s">
        <v>757</v>
      </c>
      <c r="E639" s="17"/>
      <c r="F639" s="17">
        <v>1</v>
      </c>
      <c r="G639" s="76">
        <v>8000</v>
      </c>
      <c r="H639" s="19">
        <f t="shared" si="26"/>
        <v>8000</v>
      </c>
      <c r="I639" s="91"/>
      <c r="J639" s="81"/>
    </row>
    <row r="640" spans="1:10" x14ac:dyDescent="0.25">
      <c r="A640" s="84">
        <v>46301</v>
      </c>
      <c r="B640" s="85" t="s">
        <v>382</v>
      </c>
      <c r="C640" s="17"/>
      <c r="D640" s="17" t="s">
        <v>758</v>
      </c>
      <c r="E640" s="17"/>
      <c r="F640" s="17">
        <v>1</v>
      </c>
      <c r="G640" s="76">
        <v>6000</v>
      </c>
      <c r="H640" s="19">
        <f t="shared" si="26"/>
        <v>6000</v>
      </c>
      <c r="I640" s="91"/>
      <c r="J640" s="81"/>
    </row>
    <row r="641" spans="1:11" x14ac:dyDescent="0.25">
      <c r="A641" s="84">
        <v>46301</v>
      </c>
      <c r="B641" s="85" t="s">
        <v>382</v>
      </c>
      <c r="C641" s="17"/>
      <c r="D641" s="17" t="s">
        <v>759</v>
      </c>
      <c r="E641" s="17"/>
      <c r="F641" s="17">
        <v>2</v>
      </c>
      <c r="G641" s="76">
        <v>2500</v>
      </c>
      <c r="H641" s="19">
        <f t="shared" si="26"/>
        <v>5000</v>
      </c>
      <c r="I641" s="91"/>
      <c r="J641" s="81"/>
    </row>
    <row r="642" spans="1:11" x14ac:dyDescent="0.25">
      <c r="A642" s="84">
        <v>46301</v>
      </c>
      <c r="B642" s="85" t="s">
        <v>382</v>
      </c>
      <c r="C642" s="17"/>
      <c r="D642" s="17" t="s">
        <v>334</v>
      </c>
      <c r="E642" s="17"/>
      <c r="F642" s="17">
        <v>5</v>
      </c>
      <c r="G642" s="76">
        <v>3000</v>
      </c>
      <c r="H642" s="19">
        <f t="shared" si="26"/>
        <v>15000</v>
      </c>
      <c r="I642" s="91"/>
      <c r="J642" s="81"/>
    </row>
    <row r="643" spans="1:11" x14ac:dyDescent="0.25">
      <c r="A643" s="84">
        <v>46301</v>
      </c>
      <c r="B643" s="85" t="s">
        <v>382</v>
      </c>
      <c r="C643" s="17"/>
      <c r="D643" s="17" t="s">
        <v>548</v>
      </c>
      <c r="E643" s="17"/>
      <c r="F643" s="17">
        <v>5</v>
      </c>
      <c r="G643" s="76">
        <v>3000</v>
      </c>
      <c r="H643" s="19">
        <f t="shared" si="26"/>
        <v>15000</v>
      </c>
      <c r="I643" s="91"/>
      <c r="J643" s="81"/>
    </row>
    <row r="644" spans="1:11" x14ac:dyDescent="0.25">
      <c r="A644" s="84">
        <v>46301</v>
      </c>
      <c r="B644" s="85" t="s">
        <v>591</v>
      </c>
      <c r="C644" s="17"/>
      <c r="D644" s="17" t="s">
        <v>760</v>
      </c>
      <c r="E644" s="17"/>
      <c r="F644" s="17">
        <v>1</v>
      </c>
      <c r="G644" s="76">
        <v>30000</v>
      </c>
      <c r="H644" s="19">
        <f t="shared" si="26"/>
        <v>30000</v>
      </c>
      <c r="I644" s="91"/>
      <c r="J644" s="81"/>
    </row>
    <row r="645" spans="1:11" x14ac:dyDescent="0.25">
      <c r="A645" s="84">
        <v>46301</v>
      </c>
      <c r="B645" s="17" t="s">
        <v>382</v>
      </c>
      <c r="C645" s="17"/>
      <c r="D645" s="17" t="s">
        <v>748</v>
      </c>
      <c r="E645" s="17"/>
      <c r="F645" s="17">
        <v>4</v>
      </c>
      <c r="G645" s="76">
        <v>3500</v>
      </c>
      <c r="H645" s="19">
        <f t="shared" si="26"/>
        <v>14000</v>
      </c>
      <c r="I645" s="91"/>
      <c r="J645" s="81"/>
    </row>
    <row r="646" spans="1:11" x14ac:dyDescent="0.25">
      <c r="A646" s="84">
        <v>46301</v>
      </c>
      <c r="B646" s="17" t="s">
        <v>382</v>
      </c>
      <c r="C646" s="17"/>
      <c r="D646" s="17" t="s">
        <v>754</v>
      </c>
      <c r="E646" s="17"/>
      <c r="F646" s="17">
        <v>8</v>
      </c>
      <c r="G646" s="76">
        <v>2500</v>
      </c>
      <c r="H646" s="19">
        <f t="shared" si="26"/>
        <v>20000</v>
      </c>
      <c r="I646" s="91"/>
      <c r="J646" s="81"/>
    </row>
    <row r="647" spans="1:11" x14ac:dyDescent="0.25">
      <c r="A647" s="84">
        <v>46301</v>
      </c>
      <c r="B647" s="17" t="s">
        <v>382</v>
      </c>
      <c r="C647" s="17"/>
      <c r="D647" s="17" t="s">
        <v>94</v>
      </c>
      <c r="E647" s="17"/>
      <c r="F647" s="17">
        <v>1</v>
      </c>
      <c r="G647" s="76">
        <v>3000</v>
      </c>
      <c r="H647" s="19">
        <f t="shared" si="26"/>
        <v>3000</v>
      </c>
      <c r="I647" s="91"/>
      <c r="J647" s="81"/>
    </row>
    <row r="648" spans="1:11" x14ac:dyDescent="0.25">
      <c r="A648" s="84">
        <v>46301</v>
      </c>
      <c r="B648" s="17" t="s">
        <v>382</v>
      </c>
      <c r="C648" s="17"/>
      <c r="D648" s="17" t="s">
        <v>103</v>
      </c>
      <c r="E648" s="17"/>
      <c r="F648" s="17">
        <v>1</v>
      </c>
      <c r="G648" s="76">
        <v>3500</v>
      </c>
      <c r="H648" s="19">
        <f t="shared" si="26"/>
        <v>3500</v>
      </c>
      <c r="I648" s="91"/>
      <c r="J648" s="81"/>
    </row>
    <row r="649" spans="1:11" x14ac:dyDescent="0.25">
      <c r="A649" s="84">
        <v>46301</v>
      </c>
      <c r="B649" s="17" t="s">
        <v>382</v>
      </c>
      <c r="C649" s="17"/>
      <c r="D649" s="17" t="s">
        <v>700</v>
      </c>
      <c r="E649" s="17"/>
      <c r="F649" s="17">
        <v>1</v>
      </c>
      <c r="G649" s="76">
        <v>10000</v>
      </c>
      <c r="H649" s="19">
        <f t="shared" si="26"/>
        <v>10000</v>
      </c>
      <c r="I649" s="91"/>
      <c r="J649" s="81"/>
    </row>
    <row r="650" spans="1:11" x14ac:dyDescent="0.25">
      <c r="A650" s="84">
        <v>46301</v>
      </c>
      <c r="B650" s="17"/>
      <c r="C650" s="17"/>
      <c r="D650" s="17" t="s">
        <v>598</v>
      </c>
      <c r="E650" s="17"/>
      <c r="F650" s="17">
        <v>3</v>
      </c>
      <c r="G650" s="76">
        <v>8000</v>
      </c>
      <c r="H650" s="19">
        <f t="shared" si="26"/>
        <v>24000</v>
      </c>
      <c r="I650" s="91"/>
      <c r="J650" s="81"/>
    </row>
    <row r="651" spans="1:11" x14ac:dyDescent="0.25">
      <c r="A651" s="84">
        <v>46301</v>
      </c>
      <c r="B651" s="17"/>
      <c r="C651" s="17"/>
      <c r="D651" s="17" t="s">
        <v>726</v>
      </c>
      <c r="E651" s="17"/>
      <c r="F651" s="17">
        <v>1</v>
      </c>
      <c r="G651" s="76">
        <v>5000</v>
      </c>
      <c r="H651" s="19">
        <f t="shared" si="26"/>
        <v>5000</v>
      </c>
      <c r="I651" s="91"/>
      <c r="J651" s="81"/>
      <c r="K651" s="174"/>
    </row>
    <row r="652" spans="1:11" x14ac:dyDescent="0.25">
      <c r="A652" s="84">
        <v>46301</v>
      </c>
      <c r="B652" s="17"/>
      <c r="C652" s="17"/>
      <c r="D652" s="17" t="s">
        <v>761</v>
      </c>
      <c r="E652" s="17"/>
      <c r="F652" s="17">
        <v>2</v>
      </c>
      <c r="G652" s="76">
        <v>4500</v>
      </c>
      <c r="H652" s="19">
        <f t="shared" si="26"/>
        <v>9000</v>
      </c>
      <c r="I652" s="91"/>
      <c r="J652" s="81"/>
    </row>
    <row r="653" spans="1:11" x14ac:dyDescent="0.25">
      <c r="A653" s="84">
        <v>46301</v>
      </c>
      <c r="B653" s="17"/>
      <c r="C653" s="17"/>
      <c r="D653" s="17" t="s">
        <v>762</v>
      </c>
      <c r="E653" s="17"/>
      <c r="F653" s="17">
        <v>1</v>
      </c>
      <c r="G653" s="76">
        <v>6000</v>
      </c>
      <c r="H653" s="19">
        <f t="shared" si="26"/>
        <v>6000</v>
      </c>
      <c r="I653" s="91"/>
      <c r="J653" s="81"/>
    </row>
    <row r="654" spans="1:11" x14ac:dyDescent="0.25">
      <c r="A654" s="84">
        <v>46301</v>
      </c>
      <c r="B654" s="17"/>
      <c r="C654" s="17"/>
      <c r="D654" s="17" t="s">
        <v>421</v>
      </c>
      <c r="E654" s="17"/>
      <c r="F654" s="17">
        <v>1</v>
      </c>
      <c r="G654" s="76">
        <v>10000</v>
      </c>
      <c r="H654" s="19">
        <f t="shared" si="26"/>
        <v>10000</v>
      </c>
      <c r="I654" s="91"/>
      <c r="J654" s="81"/>
    </row>
    <row r="655" spans="1:11" x14ac:dyDescent="0.25">
      <c r="A655" s="84">
        <v>46301</v>
      </c>
      <c r="B655" s="17"/>
      <c r="C655" s="17"/>
      <c r="D655" s="17" t="s">
        <v>754</v>
      </c>
      <c r="E655" s="17"/>
      <c r="F655" s="17">
        <v>2</v>
      </c>
      <c r="G655" s="76">
        <v>2500</v>
      </c>
      <c r="H655" s="19">
        <f t="shared" si="26"/>
        <v>5000</v>
      </c>
      <c r="I655" s="91"/>
      <c r="J655" s="81"/>
    </row>
    <row r="656" spans="1:11" x14ac:dyDescent="0.25">
      <c r="A656" s="84">
        <v>46301</v>
      </c>
      <c r="B656" s="17"/>
      <c r="C656" s="17"/>
      <c r="D656" s="17"/>
      <c r="E656" s="17"/>
      <c r="F656" s="17"/>
      <c r="G656" s="76"/>
      <c r="H656" s="19">
        <f t="shared" si="26"/>
        <v>0</v>
      </c>
      <c r="I656" s="91"/>
      <c r="J656" s="81"/>
    </row>
    <row r="657" spans="1:10" x14ac:dyDescent="0.25">
      <c r="A657" s="84">
        <v>46301</v>
      </c>
      <c r="B657" s="17"/>
      <c r="C657" s="17"/>
      <c r="D657" s="17"/>
      <c r="E657" s="17"/>
      <c r="F657" s="17"/>
      <c r="G657" s="76"/>
      <c r="H657" s="19">
        <f t="shared" si="26"/>
        <v>0</v>
      </c>
      <c r="I657" s="91"/>
      <c r="J657" s="81"/>
    </row>
    <row r="658" spans="1:10" x14ac:dyDescent="0.25">
      <c r="A658" s="84">
        <v>46301</v>
      </c>
      <c r="B658" s="17"/>
      <c r="C658" s="17"/>
      <c r="D658" s="17"/>
      <c r="E658" s="17"/>
      <c r="F658" s="17"/>
      <c r="G658" s="76"/>
      <c r="H658" s="19">
        <f t="shared" si="26"/>
        <v>0</v>
      </c>
      <c r="I658" s="91"/>
      <c r="J658" s="81"/>
    </row>
    <row r="659" spans="1:10" x14ac:dyDescent="0.25">
      <c r="A659" s="84">
        <v>46301</v>
      </c>
      <c r="B659" s="17"/>
      <c r="C659" s="17"/>
      <c r="D659" s="17"/>
      <c r="E659" s="17"/>
      <c r="F659" s="17"/>
      <c r="G659" s="76"/>
      <c r="H659" s="19">
        <f t="shared" si="26"/>
        <v>0</v>
      </c>
      <c r="I659" s="91"/>
      <c r="J659" s="81"/>
    </row>
    <row r="660" spans="1:10" x14ac:dyDescent="0.25">
      <c r="A660" s="84">
        <v>46301</v>
      </c>
      <c r="B660" s="17"/>
      <c r="C660" s="17"/>
      <c r="D660" s="17"/>
      <c r="E660" s="17"/>
      <c r="F660" s="17"/>
      <c r="G660" s="76"/>
      <c r="H660" s="19">
        <f t="shared" ref="H660:H723" si="27">F660*G660</f>
        <v>0</v>
      </c>
      <c r="I660" s="91"/>
      <c r="J660" s="81"/>
    </row>
    <row r="661" spans="1:10" x14ac:dyDescent="0.25">
      <c r="A661" s="84">
        <v>46301</v>
      </c>
      <c r="B661" s="17"/>
      <c r="C661" s="17"/>
      <c r="D661" s="17"/>
      <c r="E661" s="17"/>
      <c r="F661" s="17"/>
      <c r="G661" s="76"/>
      <c r="H661" s="19">
        <f t="shared" si="27"/>
        <v>0</v>
      </c>
      <c r="I661" s="91"/>
      <c r="J661" s="81"/>
    </row>
    <row r="662" spans="1:10" x14ac:dyDescent="0.25">
      <c r="A662" s="84">
        <v>46301</v>
      </c>
      <c r="B662" s="17"/>
      <c r="C662" s="17"/>
      <c r="D662" s="17"/>
      <c r="E662" s="17"/>
      <c r="F662" s="17"/>
      <c r="G662" s="76"/>
      <c r="H662" s="19">
        <f t="shared" si="27"/>
        <v>0</v>
      </c>
      <c r="I662" s="91"/>
      <c r="J662" s="81"/>
    </row>
    <row r="663" spans="1:10" x14ac:dyDescent="0.25">
      <c r="A663" s="84">
        <v>46301</v>
      </c>
      <c r="B663" s="17"/>
      <c r="C663" s="17"/>
      <c r="D663" s="17"/>
      <c r="E663" s="17"/>
      <c r="F663" s="17"/>
      <c r="G663" s="76"/>
      <c r="H663" s="19">
        <f t="shared" si="27"/>
        <v>0</v>
      </c>
      <c r="I663" s="91"/>
      <c r="J663" s="81"/>
    </row>
    <row r="664" spans="1:10" x14ac:dyDescent="0.25">
      <c r="A664" s="84">
        <v>46301</v>
      </c>
      <c r="B664" s="17"/>
      <c r="C664" s="17"/>
      <c r="D664" s="17"/>
      <c r="E664" s="17"/>
      <c r="F664" s="17"/>
      <c r="G664" s="76"/>
      <c r="H664" s="19">
        <f t="shared" si="27"/>
        <v>0</v>
      </c>
      <c r="I664" s="91"/>
      <c r="J664" s="81"/>
    </row>
    <row r="665" spans="1:10" x14ac:dyDescent="0.25">
      <c r="A665" s="84">
        <v>46301</v>
      </c>
      <c r="B665" s="17"/>
      <c r="C665" s="17"/>
      <c r="D665" s="17"/>
      <c r="E665" s="17"/>
      <c r="F665" s="17"/>
      <c r="G665" s="76"/>
      <c r="H665" s="19">
        <f t="shared" si="27"/>
        <v>0</v>
      </c>
      <c r="I665" s="91"/>
      <c r="J665" s="81"/>
    </row>
    <row r="666" spans="1:10" x14ac:dyDescent="0.25">
      <c r="A666" s="84">
        <v>46301</v>
      </c>
      <c r="B666" s="17"/>
      <c r="C666" s="17"/>
      <c r="D666" s="17"/>
      <c r="E666" s="17"/>
      <c r="F666" s="17"/>
      <c r="G666" s="76"/>
      <c r="H666" s="19">
        <f t="shared" si="27"/>
        <v>0</v>
      </c>
      <c r="I666" s="91"/>
      <c r="J666" s="81"/>
    </row>
    <row r="667" spans="1:10" x14ac:dyDescent="0.25">
      <c r="A667" s="84">
        <v>46301</v>
      </c>
      <c r="B667" s="17"/>
      <c r="C667" s="17"/>
      <c r="D667" s="17"/>
      <c r="E667" s="17"/>
      <c r="F667" s="17"/>
      <c r="G667" s="76"/>
      <c r="H667" s="19">
        <f t="shared" si="27"/>
        <v>0</v>
      </c>
      <c r="I667" s="91"/>
      <c r="J667" s="81"/>
    </row>
    <row r="668" spans="1:10" x14ac:dyDescent="0.25">
      <c r="A668" s="84">
        <v>46301</v>
      </c>
      <c r="B668" s="17"/>
      <c r="C668" s="17"/>
      <c r="D668" s="17"/>
      <c r="E668" s="17"/>
      <c r="F668" s="17"/>
      <c r="G668" s="76"/>
      <c r="H668" s="19">
        <f t="shared" si="27"/>
        <v>0</v>
      </c>
      <c r="I668" s="91"/>
      <c r="J668" s="81"/>
    </row>
    <row r="669" spans="1:10" x14ac:dyDescent="0.25">
      <c r="A669" s="84">
        <v>46301</v>
      </c>
      <c r="B669" s="17"/>
      <c r="C669" s="17"/>
      <c r="D669" s="17"/>
      <c r="E669" s="17"/>
      <c r="F669" s="17"/>
      <c r="G669" s="76"/>
      <c r="H669" s="19">
        <f t="shared" si="27"/>
        <v>0</v>
      </c>
      <c r="I669" s="91"/>
      <c r="J669" s="81"/>
    </row>
    <row r="670" spans="1:10" x14ac:dyDescent="0.25">
      <c r="A670" s="84">
        <v>46301</v>
      </c>
      <c r="B670" s="17"/>
      <c r="C670" s="17"/>
      <c r="D670" s="17"/>
      <c r="E670" s="17"/>
      <c r="F670" s="17"/>
      <c r="G670" s="76"/>
      <c r="H670" s="19">
        <f t="shared" si="27"/>
        <v>0</v>
      </c>
      <c r="I670" s="91"/>
      <c r="J670" s="81"/>
    </row>
    <row r="671" spans="1:10" x14ac:dyDescent="0.25">
      <c r="A671" s="84">
        <v>46301</v>
      </c>
      <c r="B671" s="17"/>
      <c r="C671" s="17"/>
      <c r="D671" s="17"/>
      <c r="E671" s="17"/>
      <c r="F671" s="17"/>
      <c r="G671" s="76"/>
      <c r="H671" s="19">
        <f t="shared" si="27"/>
        <v>0</v>
      </c>
      <c r="I671" s="91"/>
      <c r="J671" s="81"/>
    </row>
    <row r="672" spans="1:10" x14ac:dyDescent="0.25">
      <c r="A672" s="84">
        <v>46301</v>
      </c>
      <c r="B672" s="17"/>
      <c r="C672" s="17"/>
      <c r="D672" s="17"/>
      <c r="E672" s="17"/>
      <c r="F672" s="17"/>
      <c r="G672" s="76"/>
      <c r="H672" s="19">
        <f t="shared" si="27"/>
        <v>0</v>
      </c>
      <c r="I672" s="91"/>
      <c r="J672" s="81"/>
    </row>
    <row r="673" spans="1:10" x14ac:dyDescent="0.25">
      <c r="A673" s="84">
        <v>46301</v>
      </c>
      <c r="B673" s="17"/>
      <c r="C673" s="17"/>
      <c r="D673" s="17"/>
      <c r="E673" s="17"/>
      <c r="F673" s="17"/>
      <c r="G673" s="76"/>
      <c r="H673" s="19">
        <f t="shared" si="27"/>
        <v>0</v>
      </c>
      <c r="I673" s="91"/>
      <c r="J673" s="81"/>
    </row>
    <row r="674" spans="1:10" x14ac:dyDescent="0.25">
      <c r="A674" s="84">
        <v>46301</v>
      </c>
      <c r="B674" s="17"/>
      <c r="C674" s="17"/>
      <c r="D674" s="17"/>
      <c r="E674" s="17"/>
      <c r="F674" s="17"/>
      <c r="G674" s="76"/>
      <c r="H674" s="19">
        <f t="shared" si="27"/>
        <v>0</v>
      </c>
      <c r="I674" s="91"/>
      <c r="J674" s="81"/>
    </row>
    <row r="675" spans="1:10" x14ac:dyDescent="0.25">
      <c r="A675" s="84">
        <v>46301</v>
      </c>
      <c r="B675" s="17"/>
      <c r="C675" s="17"/>
      <c r="D675" s="17"/>
      <c r="E675" s="17"/>
      <c r="F675" s="17"/>
      <c r="G675" s="76"/>
      <c r="H675" s="19">
        <f t="shared" si="27"/>
        <v>0</v>
      </c>
      <c r="I675" s="91"/>
      <c r="J675" s="81"/>
    </row>
    <row r="676" spans="1:10" x14ac:dyDescent="0.25">
      <c r="A676" s="84"/>
      <c r="B676" s="17"/>
      <c r="C676" s="17"/>
      <c r="D676" s="17"/>
      <c r="E676" s="17"/>
      <c r="F676" s="17"/>
      <c r="G676" s="76"/>
      <c r="H676" s="19">
        <f t="shared" si="27"/>
        <v>0</v>
      </c>
      <c r="I676" s="91"/>
      <c r="J676" s="81"/>
    </row>
    <row r="677" spans="1:10" x14ac:dyDescent="0.25">
      <c r="A677" s="84"/>
      <c r="B677" s="17"/>
      <c r="C677" s="17"/>
      <c r="D677" s="17"/>
      <c r="E677" s="17"/>
      <c r="F677" s="17"/>
      <c r="G677" s="76"/>
      <c r="H677" s="19">
        <f t="shared" si="27"/>
        <v>0</v>
      </c>
      <c r="I677" s="91"/>
      <c r="J677" s="81"/>
    </row>
    <row r="678" spans="1:10" x14ac:dyDescent="0.25">
      <c r="A678" s="84"/>
      <c r="B678" s="17"/>
      <c r="C678" s="17"/>
      <c r="D678" s="17"/>
      <c r="E678" s="17"/>
      <c r="F678" s="17"/>
      <c r="G678" s="76"/>
      <c r="H678" s="19">
        <f t="shared" si="27"/>
        <v>0</v>
      </c>
      <c r="I678" s="91"/>
      <c r="J678" s="81"/>
    </row>
    <row r="679" spans="1:10" x14ac:dyDescent="0.25">
      <c r="A679" s="84"/>
      <c r="B679" s="17"/>
      <c r="C679" s="17"/>
      <c r="D679" s="17"/>
      <c r="E679" s="17"/>
      <c r="F679" s="17"/>
      <c r="G679" s="76"/>
      <c r="H679" s="19">
        <f t="shared" si="27"/>
        <v>0</v>
      </c>
      <c r="I679" s="91"/>
      <c r="J679" s="81"/>
    </row>
    <row r="680" spans="1:10" x14ac:dyDescent="0.25">
      <c r="A680" s="84"/>
      <c r="B680" s="17"/>
      <c r="C680" s="17"/>
      <c r="D680" s="17"/>
      <c r="E680" s="17"/>
      <c r="F680" s="17"/>
      <c r="G680" s="76"/>
      <c r="H680" s="19">
        <f t="shared" si="27"/>
        <v>0</v>
      </c>
      <c r="I680" s="91"/>
      <c r="J680" s="81"/>
    </row>
    <row r="681" spans="1:10" x14ac:dyDescent="0.25">
      <c r="A681" s="84"/>
      <c r="B681" s="17"/>
      <c r="C681" s="17"/>
      <c r="D681" s="17"/>
      <c r="E681" s="17"/>
      <c r="F681" s="17"/>
      <c r="G681" s="76"/>
      <c r="H681" s="19">
        <f t="shared" si="27"/>
        <v>0</v>
      </c>
      <c r="I681" s="91"/>
      <c r="J681" s="81"/>
    </row>
    <row r="682" spans="1:10" x14ac:dyDescent="0.25">
      <c r="A682" s="84"/>
      <c r="B682" s="17"/>
      <c r="C682" s="17"/>
      <c r="D682" s="17"/>
      <c r="E682" s="17"/>
      <c r="F682" s="17"/>
      <c r="G682" s="76"/>
      <c r="H682" s="19">
        <f t="shared" si="27"/>
        <v>0</v>
      </c>
      <c r="I682" s="91"/>
      <c r="J682" s="81"/>
    </row>
    <row r="683" spans="1:10" x14ac:dyDescent="0.25">
      <c r="A683" s="84"/>
      <c r="B683" s="17"/>
      <c r="C683" s="17"/>
      <c r="D683" s="17"/>
      <c r="E683" s="17"/>
      <c r="F683" s="17"/>
      <c r="G683" s="76"/>
      <c r="H683" s="19">
        <f t="shared" si="27"/>
        <v>0</v>
      </c>
      <c r="I683" s="91"/>
      <c r="J683" s="81"/>
    </row>
    <row r="684" spans="1:10" x14ac:dyDescent="0.25">
      <c r="A684" s="84"/>
      <c r="B684" s="17"/>
      <c r="C684" s="17"/>
      <c r="D684" s="17"/>
      <c r="E684" s="17"/>
      <c r="F684" s="17"/>
      <c r="G684" s="76"/>
      <c r="H684" s="19">
        <f t="shared" si="27"/>
        <v>0</v>
      </c>
      <c r="I684" s="91"/>
      <c r="J684" s="81"/>
    </row>
    <row r="685" spans="1:10" x14ac:dyDescent="0.25">
      <c r="A685" s="84"/>
      <c r="B685" s="17"/>
      <c r="C685" s="17"/>
      <c r="D685" s="17"/>
      <c r="E685" s="17"/>
      <c r="F685" s="17"/>
      <c r="G685" s="76"/>
      <c r="H685" s="19">
        <f t="shared" si="27"/>
        <v>0</v>
      </c>
      <c r="I685" s="91"/>
      <c r="J685" s="81"/>
    </row>
    <row r="686" spans="1:10" x14ac:dyDescent="0.25">
      <c r="A686" s="84"/>
      <c r="B686" s="17"/>
      <c r="C686" s="17"/>
      <c r="D686" s="17"/>
      <c r="E686" s="17"/>
      <c r="F686" s="17"/>
      <c r="G686" s="76"/>
      <c r="H686" s="19">
        <f t="shared" si="27"/>
        <v>0</v>
      </c>
      <c r="I686" s="91"/>
      <c r="J686" s="81"/>
    </row>
    <row r="687" spans="1:10" x14ac:dyDescent="0.25">
      <c r="A687" s="84"/>
      <c r="B687" s="17"/>
      <c r="C687" s="17"/>
      <c r="D687" s="17"/>
      <c r="E687" s="17"/>
      <c r="F687" s="17"/>
      <c r="G687" s="76"/>
      <c r="H687" s="19">
        <f t="shared" si="27"/>
        <v>0</v>
      </c>
      <c r="I687" s="91"/>
      <c r="J687" s="81"/>
    </row>
    <row r="688" spans="1:10" x14ac:dyDescent="0.25">
      <c r="A688" s="84"/>
      <c r="B688" s="17"/>
      <c r="C688" s="17"/>
      <c r="D688" s="17"/>
      <c r="E688" s="17"/>
      <c r="F688" s="17"/>
      <c r="G688" s="76"/>
      <c r="H688" s="19">
        <f t="shared" si="27"/>
        <v>0</v>
      </c>
      <c r="I688" s="91"/>
      <c r="J688" s="81"/>
    </row>
    <row r="689" spans="1:10" x14ac:dyDescent="0.25">
      <c r="A689" s="84"/>
      <c r="B689" s="17"/>
      <c r="C689" s="17"/>
      <c r="D689" s="17"/>
      <c r="E689" s="17"/>
      <c r="F689" s="17"/>
      <c r="G689" s="76"/>
      <c r="H689" s="19">
        <f t="shared" si="27"/>
        <v>0</v>
      </c>
      <c r="I689" s="91"/>
      <c r="J689" s="81"/>
    </row>
    <row r="690" spans="1:10" x14ac:dyDescent="0.25">
      <c r="A690" s="84"/>
      <c r="B690" s="17"/>
      <c r="C690" s="17"/>
      <c r="D690" s="17"/>
      <c r="E690" s="17"/>
      <c r="F690" s="17"/>
      <c r="G690" s="76"/>
      <c r="H690" s="19">
        <f t="shared" si="27"/>
        <v>0</v>
      </c>
      <c r="I690" s="91"/>
      <c r="J690" s="81"/>
    </row>
    <row r="691" spans="1:10" x14ac:dyDescent="0.25">
      <c r="A691" s="84"/>
      <c r="B691" s="17"/>
      <c r="C691" s="17"/>
      <c r="D691" s="17"/>
      <c r="E691" s="17"/>
      <c r="F691" s="17"/>
      <c r="G691" s="76"/>
      <c r="H691" s="19">
        <f t="shared" si="27"/>
        <v>0</v>
      </c>
      <c r="I691" s="91"/>
      <c r="J691" s="81"/>
    </row>
    <row r="692" spans="1:10" x14ac:dyDescent="0.25">
      <c r="A692" s="84"/>
      <c r="B692" s="17"/>
      <c r="C692" s="17"/>
      <c r="D692" s="17"/>
      <c r="E692" s="17"/>
      <c r="F692" s="17"/>
      <c r="G692" s="76"/>
      <c r="H692" s="19">
        <f t="shared" si="27"/>
        <v>0</v>
      </c>
      <c r="I692" s="91"/>
      <c r="J692" s="81"/>
    </row>
    <row r="693" spans="1:10" x14ac:dyDescent="0.25">
      <c r="A693" s="84"/>
      <c r="B693" s="17"/>
      <c r="C693" s="17"/>
      <c r="D693" s="17"/>
      <c r="E693" s="17"/>
      <c r="F693" s="17"/>
      <c r="G693" s="76"/>
      <c r="H693" s="19">
        <f t="shared" si="27"/>
        <v>0</v>
      </c>
      <c r="I693" s="91"/>
      <c r="J693" s="81"/>
    </row>
    <row r="694" spans="1:10" x14ac:dyDescent="0.25">
      <c r="A694" s="84"/>
      <c r="B694" s="17"/>
      <c r="C694" s="17"/>
      <c r="D694" s="17"/>
      <c r="E694" s="17"/>
      <c r="F694" s="17"/>
      <c r="G694" s="76"/>
      <c r="H694" s="19">
        <f t="shared" si="27"/>
        <v>0</v>
      </c>
      <c r="I694" s="91"/>
      <c r="J694" s="81"/>
    </row>
    <row r="695" spans="1:10" x14ac:dyDescent="0.25">
      <c r="A695" s="84"/>
      <c r="B695" s="17"/>
      <c r="C695" s="17"/>
      <c r="D695" s="17"/>
      <c r="E695" s="17"/>
      <c r="F695" s="17"/>
      <c r="G695" s="76"/>
      <c r="H695" s="19">
        <f t="shared" si="27"/>
        <v>0</v>
      </c>
      <c r="I695" s="91"/>
      <c r="J695" s="81"/>
    </row>
    <row r="696" spans="1:10" x14ac:dyDescent="0.25">
      <c r="A696" s="84"/>
      <c r="B696" s="17"/>
      <c r="C696" s="17"/>
      <c r="D696" s="17"/>
      <c r="E696" s="17"/>
      <c r="F696" s="17"/>
      <c r="G696" s="76"/>
      <c r="H696" s="19">
        <f t="shared" si="27"/>
        <v>0</v>
      </c>
      <c r="I696" s="91"/>
      <c r="J696" s="81"/>
    </row>
    <row r="697" spans="1:10" x14ac:dyDescent="0.25">
      <c r="A697" s="84"/>
      <c r="B697" s="17"/>
      <c r="C697" s="17"/>
      <c r="D697" s="17"/>
      <c r="E697" s="17"/>
      <c r="F697" s="17"/>
      <c r="G697" s="76"/>
      <c r="H697" s="19">
        <f t="shared" si="27"/>
        <v>0</v>
      </c>
      <c r="I697" s="91"/>
      <c r="J697" s="81"/>
    </row>
    <row r="698" spans="1:10" x14ac:dyDescent="0.25">
      <c r="A698" s="84"/>
      <c r="B698" s="17"/>
      <c r="C698" s="17"/>
      <c r="D698" s="17"/>
      <c r="E698" s="17"/>
      <c r="F698" s="17"/>
      <c r="G698" s="76"/>
      <c r="H698" s="19">
        <f t="shared" si="27"/>
        <v>0</v>
      </c>
      <c r="I698" s="91"/>
      <c r="J698" s="81"/>
    </row>
    <row r="699" spans="1:10" x14ac:dyDescent="0.25">
      <c r="A699" s="84"/>
      <c r="B699" s="17"/>
      <c r="C699" s="17"/>
      <c r="D699" s="17"/>
      <c r="E699" s="17"/>
      <c r="F699" s="17"/>
      <c r="G699" s="76"/>
      <c r="H699" s="19">
        <f t="shared" si="27"/>
        <v>0</v>
      </c>
      <c r="I699" s="91"/>
      <c r="J699" s="81"/>
    </row>
    <row r="700" spans="1:10" x14ac:dyDescent="0.25">
      <c r="A700" s="84"/>
      <c r="B700" s="17"/>
      <c r="C700" s="17"/>
      <c r="D700" s="17"/>
      <c r="E700" s="17"/>
      <c r="F700" s="17"/>
      <c r="G700" s="76"/>
      <c r="H700" s="19">
        <f t="shared" si="27"/>
        <v>0</v>
      </c>
      <c r="I700" s="91"/>
      <c r="J700" s="81"/>
    </row>
    <row r="701" spans="1:10" x14ac:dyDescent="0.25">
      <c r="A701" s="84"/>
      <c r="B701" s="17"/>
      <c r="C701" s="17"/>
      <c r="D701" s="17"/>
      <c r="E701" s="17"/>
      <c r="F701" s="17"/>
      <c r="G701" s="76"/>
      <c r="H701" s="19">
        <f t="shared" si="27"/>
        <v>0</v>
      </c>
      <c r="I701" s="91"/>
      <c r="J701" s="81"/>
    </row>
    <row r="702" spans="1:10" x14ac:dyDescent="0.25">
      <c r="A702" s="84"/>
      <c r="B702" s="17"/>
      <c r="C702" s="17"/>
      <c r="D702" s="17"/>
      <c r="E702" s="17"/>
      <c r="F702" s="17"/>
      <c r="G702" s="76"/>
      <c r="H702" s="19">
        <f t="shared" si="27"/>
        <v>0</v>
      </c>
      <c r="I702" s="91"/>
      <c r="J702" s="81"/>
    </row>
    <row r="703" spans="1:10" x14ac:dyDescent="0.25">
      <c r="A703" s="84"/>
      <c r="B703" s="17"/>
      <c r="C703" s="17"/>
      <c r="D703" s="17"/>
      <c r="E703" s="17"/>
      <c r="F703" s="17"/>
      <c r="G703" s="76"/>
      <c r="H703" s="19">
        <f t="shared" si="27"/>
        <v>0</v>
      </c>
      <c r="I703" s="91"/>
      <c r="J703" s="81"/>
    </row>
    <row r="704" spans="1:10" x14ac:dyDescent="0.25">
      <c r="A704" s="84"/>
      <c r="B704" s="17"/>
      <c r="C704" s="17"/>
      <c r="D704" s="17"/>
      <c r="E704" s="17"/>
      <c r="F704" s="17"/>
      <c r="G704" s="76"/>
      <c r="H704" s="19">
        <f t="shared" si="27"/>
        <v>0</v>
      </c>
      <c r="I704" s="91"/>
      <c r="J704" s="81"/>
    </row>
    <row r="705" spans="1:10" x14ac:dyDescent="0.25">
      <c r="A705" s="84"/>
      <c r="B705" s="17"/>
      <c r="C705" s="17"/>
      <c r="D705" s="17"/>
      <c r="E705" s="17"/>
      <c r="F705" s="17"/>
      <c r="G705" s="76"/>
      <c r="H705" s="19">
        <f t="shared" si="27"/>
        <v>0</v>
      </c>
      <c r="I705" s="91"/>
      <c r="J705" s="81"/>
    </row>
    <row r="706" spans="1:10" x14ac:dyDescent="0.25">
      <c r="A706" s="84"/>
      <c r="B706" s="17"/>
      <c r="C706" s="17"/>
      <c r="D706" s="17"/>
      <c r="E706" s="17"/>
      <c r="F706" s="17"/>
      <c r="G706" s="76"/>
      <c r="H706" s="19">
        <f t="shared" si="27"/>
        <v>0</v>
      </c>
      <c r="I706" s="91"/>
      <c r="J706" s="81"/>
    </row>
    <row r="707" spans="1:10" x14ac:dyDescent="0.25">
      <c r="A707" s="84"/>
      <c r="B707" s="17"/>
      <c r="C707" s="17"/>
      <c r="D707" s="17"/>
      <c r="E707" s="17"/>
      <c r="F707" s="17"/>
      <c r="G707" s="76"/>
      <c r="H707" s="19">
        <f t="shared" si="27"/>
        <v>0</v>
      </c>
      <c r="I707" s="91"/>
      <c r="J707" s="81"/>
    </row>
    <row r="708" spans="1:10" x14ac:dyDescent="0.25">
      <c r="A708" s="84"/>
      <c r="B708" s="17"/>
      <c r="C708" s="17"/>
      <c r="D708" s="17"/>
      <c r="E708" s="17"/>
      <c r="F708" s="17"/>
      <c r="G708" s="76"/>
      <c r="H708" s="19">
        <f t="shared" si="27"/>
        <v>0</v>
      </c>
      <c r="I708" s="91"/>
      <c r="J708" s="81"/>
    </row>
    <row r="709" spans="1:10" x14ac:dyDescent="0.25">
      <c r="A709" s="84"/>
      <c r="B709" s="17"/>
      <c r="C709" s="17"/>
      <c r="D709" s="17"/>
      <c r="E709" s="17"/>
      <c r="F709" s="17"/>
      <c r="G709" s="76"/>
      <c r="H709" s="19">
        <f t="shared" si="27"/>
        <v>0</v>
      </c>
      <c r="I709" s="91"/>
      <c r="J709" s="81"/>
    </row>
    <row r="710" spans="1:10" x14ac:dyDescent="0.25">
      <c r="A710" s="84"/>
      <c r="B710" s="17"/>
      <c r="C710" s="17"/>
      <c r="D710" s="17"/>
      <c r="E710" s="17"/>
      <c r="F710" s="17"/>
      <c r="G710" s="76"/>
      <c r="H710" s="19">
        <f t="shared" si="27"/>
        <v>0</v>
      </c>
      <c r="I710" s="91"/>
      <c r="J710" s="81"/>
    </row>
    <row r="711" spans="1:10" x14ac:dyDescent="0.25">
      <c r="A711" s="84"/>
      <c r="B711" s="17"/>
      <c r="C711" s="17"/>
      <c r="D711" s="17"/>
      <c r="E711" s="17"/>
      <c r="F711" s="17"/>
      <c r="G711" s="76"/>
      <c r="H711" s="19">
        <f t="shared" si="27"/>
        <v>0</v>
      </c>
      <c r="I711" s="91"/>
      <c r="J711" s="81"/>
    </row>
    <row r="712" spans="1:10" x14ac:dyDescent="0.25">
      <c r="A712" s="84"/>
      <c r="B712" s="17"/>
      <c r="C712" s="17"/>
      <c r="D712" s="17"/>
      <c r="E712" s="17"/>
      <c r="F712" s="17"/>
      <c r="G712" s="76"/>
      <c r="H712" s="19">
        <f t="shared" si="27"/>
        <v>0</v>
      </c>
      <c r="I712" s="91"/>
      <c r="J712" s="81"/>
    </row>
    <row r="713" spans="1:10" x14ac:dyDescent="0.25">
      <c r="A713" s="84"/>
      <c r="B713" s="17"/>
      <c r="C713" s="17"/>
      <c r="D713" s="17"/>
      <c r="E713" s="17"/>
      <c r="F713" s="17"/>
      <c r="G713" s="76"/>
      <c r="H713" s="19">
        <f t="shared" si="27"/>
        <v>0</v>
      </c>
      <c r="I713" s="91"/>
      <c r="J713" s="81"/>
    </row>
    <row r="714" spans="1:10" x14ac:dyDescent="0.25">
      <c r="A714" s="84"/>
      <c r="B714" s="17"/>
      <c r="C714" s="17"/>
      <c r="D714" s="17"/>
      <c r="E714" s="17"/>
      <c r="F714" s="17"/>
      <c r="G714" s="76"/>
      <c r="H714" s="19">
        <f t="shared" si="27"/>
        <v>0</v>
      </c>
      <c r="I714" s="91"/>
      <c r="J714" s="81"/>
    </row>
    <row r="715" spans="1:10" x14ac:dyDescent="0.25">
      <c r="A715" s="84"/>
      <c r="B715" s="17"/>
      <c r="C715" s="17"/>
      <c r="D715" s="17"/>
      <c r="E715" s="17"/>
      <c r="F715" s="17"/>
      <c r="G715" s="76"/>
      <c r="H715" s="19">
        <f t="shared" si="27"/>
        <v>0</v>
      </c>
      <c r="I715" s="91"/>
      <c r="J715" s="81"/>
    </row>
    <row r="716" spans="1:10" x14ac:dyDescent="0.25">
      <c r="A716" s="84"/>
      <c r="B716" s="17"/>
      <c r="C716" s="17"/>
      <c r="D716" s="17"/>
      <c r="E716" s="17"/>
      <c r="F716" s="17"/>
      <c r="G716" s="76"/>
      <c r="H716" s="19">
        <f t="shared" si="27"/>
        <v>0</v>
      </c>
      <c r="I716" s="91"/>
      <c r="J716" s="81"/>
    </row>
    <row r="717" spans="1:10" x14ac:dyDescent="0.25">
      <c r="A717" s="84"/>
      <c r="B717" s="17"/>
      <c r="C717" s="17"/>
      <c r="D717" s="17"/>
      <c r="E717" s="17"/>
      <c r="F717" s="17"/>
      <c r="G717" s="76"/>
      <c r="H717" s="19">
        <f t="shared" si="27"/>
        <v>0</v>
      </c>
      <c r="I717" s="91"/>
      <c r="J717" s="81"/>
    </row>
    <row r="718" spans="1:10" x14ac:dyDescent="0.25">
      <c r="A718" s="84"/>
      <c r="B718" s="17"/>
      <c r="C718" s="17"/>
      <c r="D718" s="17"/>
      <c r="E718" s="17"/>
      <c r="F718" s="17"/>
      <c r="G718" s="76"/>
      <c r="H718" s="19">
        <f t="shared" si="27"/>
        <v>0</v>
      </c>
      <c r="I718" s="91"/>
      <c r="J718" s="81"/>
    </row>
    <row r="719" spans="1:10" x14ac:dyDescent="0.25">
      <c r="A719" s="84"/>
      <c r="B719" s="17"/>
      <c r="C719" s="17"/>
      <c r="D719" s="17"/>
      <c r="E719" s="17"/>
      <c r="F719" s="17"/>
      <c r="G719" s="76"/>
      <c r="H719" s="19">
        <f t="shared" si="27"/>
        <v>0</v>
      </c>
      <c r="I719" s="91"/>
      <c r="J719" s="81"/>
    </row>
    <row r="720" spans="1:10" x14ac:dyDescent="0.25">
      <c r="A720" s="84"/>
      <c r="B720" s="17"/>
      <c r="C720" s="17"/>
      <c r="D720" s="17"/>
      <c r="E720" s="17"/>
      <c r="F720" s="17"/>
      <c r="G720" s="76"/>
      <c r="H720" s="19">
        <f t="shared" si="27"/>
        <v>0</v>
      </c>
      <c r="I720" s="91"/>
      <c r="J720" s="81"/>
    </row>
    <row r="721" spans="1:10" x14ac:dyDescent="0.25">
      <c r="A721" s="84"/>
      <c r="B721" s="17"/>
      <c r="C721" s="17"/>
      <c r="D721" s="17"/>
      <c r="E721" s="17"/>
      <c r="F721" s="17"/>
      <c r="G721" s="76"/>
      <c r="H721" s="19">
        <f t="shared" si="27"/>
        <v>0</v>
      </c>
      <c r="I721" s="91"/>
      <c r="J721" s="81"/>
    </row>
    <row r="722" spans="1:10" x14ac:dyDescent="0.25">
      <c r="A722" s="84"/>
      <c r="B722" s="17"/>
      <c r="C722" s="17"/>
      <c r="D722" s="17"/>
      <c r="E722" s="17"/>
      <c r="F722" s="17"/>
      <c r="G722" s="76"/>
      <c r="H722" s="19">
        <f t="shared" si="27"/>
        <v>0</v>
      </c>
      <c r="I722" s="91"/>
      <c r="J722" s="81"/>
    </row>
    <row r="723" spans="1:10" x14ac:dyDescent="0.25">
      <c r="A723" s="84"/>
      <c r="B723" s="17"/>
      <c r="C723" s="17"/>
      <c r="D723" s="17"/>
      <c r="E723" s="17"/>
      <c r="F723" s="17"/>
      <c r="G723" s="76"/>
      <c r="H723" s="19">
        <f t="shared" si="27"/>
        <v>0</v>
      </c>
      <c r="I723" s="91"/>
      <c r="J723" s="81"/>
    </row>
    <row r="724" spans="1:10" x14ac:dyDescent="0.25">
      <c r="A724" s="84"/>
      <c r="B724" s="17"/>
      <c r="C724" s="17"/>
      <c r="D724" s="17"/>
      <c r="E724" s="17"/>
      <c r="F724" s="17"/>
      <c r="G724" s="76"/>
      <c r="H724" s="19">
        <f t="shared" ref="H724:H787" si="28">F724*G724</f>
        <v>0</v>
      </c>
      <c r="I724" s="91"/>
      <c r="J724" s="81"/>
    </row>
    <row r="725" spans="1:10" x14ac:dyDescent="0.25">
      <c r="A725" s="84"/>
      <c r="B725" s="17"/>
      <c r="C725" s="17"/>
      <c r="D725" s="17"/>
      <c r="E725" s="17"/>
      <c r="F725" s="17"/>
      <c r="G725" s="76"/>
      <c r="H725" s="19">
        <f t="shared" si="28"/>
        <v>0</v>
      </c>
      <c r="I725" s="91"/>
      <c r="J725" s="81"/>
    </row>
    <row r="726" spans="1:10" x14ac:dyDescent="0.25">
      <c r="A726" s="84"/>
      <c r="B726" s="17"/>
      <c r="C726" s="17"/>
      <c r="D726" s="17"/>
      <c r="E726" s="17"/>
      <c r="F726" s="17"/>
      <c r="G726" s="76"/>
      <c r="H726" s="19">
        <f t="shared" si="28"/>
        <v>0</v>
      </c>
      <c r="I726" s="91"/>
      <c r="J726" s="81"/>
    </row>
    <row r="727" spans="1:10" x14ac:dyDescent="0.25">
      <c r="A727" s="84"/>
      <c r="B727" s="17"/>
      <c r="C727" s="17"/>
      <c r="D727" s="17"/>
      <c r="E727" s="17"/>
      <c r="F727" s="17"/>
      <c r="G727" s="76"/>
      <c r="H727" s="19">
        <f t="shared" si="28"/>
        <v>0</v>
      </c>
      <c r="I727" s="91"/>
      <c r="J727" s="81"/>
    </row>
    <row r="728" spans="1:10" x14ac:dyDescent="0.25">
      <c r="A728" s="84"/>
      <c r="B728" s="17"/>
      <c r="C728" s="17"/>
      <c r="D728" s="17"/>
      <c r="E728" s="17"/>
      <c r="F728" s="17"/>
      <c r="G728" s="76"/>
      <c r="H728" s="19">
        <f t="shared" si="28"/>
        <v>0</v>
      </c>
      <c r="I728" s="91"/>
      <c r="J728" s="81"/>
    </row>
    <row r="729" spans="1:10" x14ac:dyDescent="0.25">
      <c r="A729" s="84"/>
      <c r="B729" s="17"/>
      <c r="C729" s="17"/>
      <c r="D729" s="17"/>
      <c r="E729" s="17"/>
      <c r="F729" s="17"/>
      <c r="G729" s="76"/>
      <c r="H729" s="19">
        <f t="shared" si="28"/>
        <v>0</v>
      </c>
      <c r="I729" s="91"/>
      <c r="J729" s="81"/>
    </row>
    <row r="730" spans="1:10" x14ac:dyDescent="0.25">
      <c r="A730" s="84"/>
      <c r="B730" s="17"/>
      <c r="C730" s="17"/>
      <c r="D730" s="17"/>
      <c r="E730" s="17"/>
      <c r="F730" s="17"/>
      <c r="G730" s="76"/>
      <c r="H730" s="19">
        <f t="shared" si="28"/>
        <v>0</v>
      </c>
      <c r="I730" s="91"/>
      <c r="J730" s="81"/>
    </row>
    <row r="731" spans="1:10" x14ac:dyDescent="0.25">
      <c r="A731" s="84"/>
      <c r="B731" s="17"/>
      <c r="C731" s="17"/>
      <c r="D731" s="17"/>
      <c r="E731" s="17"/>
      <c r="F731" s="17"/>
      <c r="G731" s="76"/>
      <c r="H731" s="19">
        <f t="shared" si="28"/>
        <v>0</v>
      </c>
      <c r="I731" s="91"/>
      <c r="J731" s="81"/>
    </row>
    <row r="732" spans="1:10" x14ac:dyDescent="0.25">
      <c r="A732" s="84"/>
      <c r="B732" s="17"/>
      <c r="C732" s="17"/>
      <c r="D732" s="17"/>
      <c r="E732" s="17"/>
      <c r="F732" s="17"/>
      <c r="G732" s="76"/>
      <c r="H732" s="19">
        <f t="shared" si="28"/>
        <v>0</v>
      </c>
      <c r="I732" s="91"/>
      <c r="J732" s="81"/>
    </row>
    <row r="733" spans="1:10" x14ac:dyDescent="0.25">
      <c r="A733" s="84"/>
      <c r="B733" s="17"/>
      <c r="C733" s="17"/>
      <c r="D733" s="17"/>
      <c r="E733" s="17"/>
      <c r="F733" s="17"/>
      <c r="G733" s="76"/>
      <c r="H733" s="19">
        <f t="shared" si="28"/>
        <v>0</v>
      </c>
      <c r="I733" s="91"/>
      <c r="J733" s="81"/>
    </row>
    <row r="734" spans="1:10" x14ac:dyDescent="0.25">
      <c r="A734" s="84"/>
      <c r="B734" s="17"/>
      <c r="C734" s="17"/>
      <c r="D734" s="17"/>
      <c r="E734" s="17"/>
      <c r="F734" s="17"/>
      <c r="G734" s="76"/>
      <c r="H734" s="19">
        <f t="shared" si="28"/>
        <v>0</v>
      </c>
      <c r="I734" s="91"/>
      <c r="J734" s="81"/>
    </row>
    <row r="735" spans="1:10" x14ac:dyDescent="0.25">
      <c r="A735" s="84"/>
      <c r="B735" s="17"/>
      <c r="C735" s="17"/>
      <c r="D735" s="17"/>
      <c r="E735" s="17"/>
      <c r="F735" s="17"/>
      <c r="G735" s="76"/>
      <c r="H735" s="19">
        <f t="shared" si="28"/>
        <v>0</v>
      </c>
      <c r="I735" s="91"/>
      <c r="J735" s="81"/>
    </row>
    <row r="736" spans="1:10" x14ac:dyDescent="0.25">
      <c r="A736" s="84"/>
      <c r="B736" s="17"/>
      <c r="C736" s="17"/>
      <c r="D736" s="17"/>
      <c r="E736" s="17"/>
      <c r="F736" s="17"/>
      <c r="G736" s="76"/>
      <c r="H736" s="19">
        <f t="shared" si="28"/>
        <v>0</v>
      </c>
      <c r="I736" s="91"/>
      <c r="J736" s="81"/>
    </row>
    <row r="737" spans="1:10" x14ac:dyDescent="0.25">
      <c r="A737" s="84"/>
      <c r="B737" s="17"/>
      <c r="C737" s="17"/>
      <c r="D737" s="17"/>
      <c r="E737" s="17"/>
      <c r="F737" s="17"/>
      <c r="G737" s="76"/>
      <c r="H737" s="19">
        <f t="shared" si="28"/>
        <v>0</v>
      </c>
      <c r="I737" s="91"/>
      <c r="J737" s="81"/>
    </row>
    <row r="738" spans="1:10" x14ac:dyDescent="0.25">
      <c r="A738" s="84"/>
      <c r="B738" s="17"/>
      <c r="C738" s="17"/>
      <c r="D738" s="17"/>
      <c r="E738" s="17"/>
      <c r="F738" s="17"/>
      <c r="G738" s="76"/>
      <c r="H738" s="19">
        <f t="shared" si="28"/>
        <v>0</v>
      </c>
      <c r="I738" s="91"/>
      <c r="J738" s="81"/>
    </row>
    <row r="739" spans="1:10" x14ac:dyDescent="0.25">
      <c r="A739" s="84"/>
      <c r="B739" s="17"/>
      <c r="C739" s="17"/>
      <c r="D739" s="17"/>
      <c r="E739" s="17"/>
      <c r="F739" s="17"/>
      <c r="G739" s="76"/>
      <c r="H739" s="19">
        <f t="shared" si="28"/>
        <v>0</v>
      </c>
      <c r="I739" s="91"/>
      <c r="J739" s="81"/>
    </row>
    <row r="740" spans="1:10" x14ac:dyDescent="0.25">
      <c r="A740" s="84"/>
      <c r="B740" s="17"/>
      <c r="C740" s="17"/>
      <c r="D740" s="17"/>
      <c r="E740" s="17"/>
      <c r="F740" s="17"/>
      <c r="G740" s="76"/>
      <c r="H740" s="19">
        <f t="shared" si="28"/>
        <v>0</v>
      </c>
      <c r="I740" s="91"/>
      <c r="J740" s="81"/>
    </row>
    <row r="741" spans="1:10" x14ac:dyDescent="0.25">
      <c r="A741" s="84"/>
      <c r="B741" s="17"/>
      <c r="C741" s="17"/>
      <c r="D741" s="17"/>
      <c r="E741" s="17"/>
      <c r="F741" s="17"/>
      <c r="G741" s="76"/>
      <c r="H741" s="19">
        <f t="shared" si="28"/>
        <v>0</v>
      </c>
      <c r="I741" s="91"/>
      <c r="J741" s="81"/>
    </row>
    <row r="742" spans="1:10" x14ac:dyDescent="0.25">
      <c r="A742" s="84"/>
      <c r="B742" s="17"/>
      <c r="C742" s="17"/>
      <c r="D742" s="17"/>
      <c r="E742" s="17"/>
      <c r="F742" s="17"/>
      <c r="G742" s="76"/>
      <c r="H742" s="19">
        <f t="shared" si="28"/>
        <v>0</v>
      </c>
      <c r="I742" s="91"/>
      <c r="J742" s="81"/>
    </row>
    <row r="743" spans="1:10" x14ac:dyDescent="0.25">
      <c r="A743" s="84"/>
      <c r="B743" s="17"/>
      <c r="C743" s="17"/>
      <c r="D743" s="17"/>
      <c r="E743" s="17"/>
      <c r="F743" s="17"/>
      <c r="G743" s="76"/>
      <c r="H743" s="19">
        <f t="shared" si="28"/>
        <v>0</v>
      </c>
      <c r="I743" s="91"/>
      <c r="J743" s="81"/>
    </row>
    <row r="744" spans="1:10" x14ac:dyDescent="0.25">
      <c r="A744" s="84"/>
      <c r="B744" s="17"/>
      <c r="C744" s="17"/>
      <c r="D744" s="17"/>
      <c r="E744" s="17"/>
      <c r="F744" s="17"/>
      <c r="G744" s="76"/>
      <c r="H744" s="19">
        <f t="shared" si="28"/>
        <v>0</v>
      </c>
      <c r="I744" s="91"/>
      <c r="J744" s="81"/>
    </row>
    <row r="745" spans="1:10" x14ac:dyDescent="0.25">
      <c r="A745" s="84"/>
      <c r="B745" s="17"/>
      <c r="C745" s="17"/>
      <c r="D745" s="17"/>
      <c r="E745" s="17"/>
      <c r="F745" s="17"/>
      <c r="G745" s="76"/>
      <c r="H745" s="19">
        <f t="shared" si="28"/>
        <v>0</v>
      </c>
      <c r="I745" s="91"/>
      <c r="J745" s="81"/>
    </row>
    <row r="746" spans="1:10" x14ac:dyDescent="0.25">
      <c r="A746" s="84"/>
      <c r="B746" s="17"/>
      <c r="C746" s="17"/>
      <c r="D746" s="17"/>
      <c r="E746" s="17"/>
      <c r="F746" s="17"/>
      <c r="G746" s="76"/>
      <c r="H746" s="19">
        <f t="shared" si="28"/>
        <v>0</v>
      </c>
      <c r="I746" s="91"/>
      <c r="J746" s="81"/>
    </row>
    <row r="747" spans="1:10" x14ac:dyDescent="0.25">
      <c r="A747" s="84"/>
      <c r="B747" s="17"/>
      <c r="C747" s="17"/>
      <c r="D747" s="17"/>
      <c r="E747" s="17"/>
      <c r="F747" s="17"/>
      <c r="G747" s="76"/>
      <c r="H747" s="19">
        <f t="shared" si="28"/>
        <v>0</v>
      </c>
      <c r="I747" s="91"/>
      <c r="J747" s="81"/>
    </row>
    <row r="748" spans="1:10" x14ac:dyDescent="0.25">
      <c r="A748" s="84"/>
      <c r="B748" s="17"/>
      <c r="C748" s="17"/>
      <c r="D748" s="17"/>
      <c r="E748" s="17"/>
      <c r="F748" s="17"/>
      <c r="G748" s="76"/>
      <c r="H748" s="19">
        <f t="shared" si="28"/>
        <v>0</v>
      </c>
      <c r="I748" s="91"/>
      <c r="J748" s="81"/>
    </row>
    <row r="749" spans="1:10" x14ac:dyDescent="0.25">
      <c r="A749" s="84"/>
      <c r="B749" s="17"/>
      <c r="C749" s="17"/>
      <c r="D749" s="17"/>
      <c r="E749" s="17"/>
      <c r="F749" s="17"/>
      <c r="G749" s="76"/>
      <c r="H749" s="19">
        <f t="shared" si="28"/>
        <v>0</v>
      </c>
      <c r="I749" s="91"/>
      <c r="J749" s="81"/>
    </row>
    <row r="750" spans="1:10" x14ac:dyDescent="0.25">
      <c r="A750" s="84"/>
      <c r="B750" s="17"/>
      <c r="C750" s="17"/>
      <c r="D750" s="17"/>
      <c r="E750" s="17"/>
      <c r="F750" s="17"/>
      <c r="G750" s="76"/>
      <c r="H750" s="19">
        <f t="shared" si="28"/>
        <v>0</v>
      </c>
      <c r="I750" s="91"/>
      <c r="J750" s="81"/>
    </row>
    <row r="751" spans="1:10" x14ac:dyDescent="0.25">
      <c r="A751" s="84"/>
      <c r="B751" s="17"/>
      <c r="C751" s="17"/>
      <c r="D751" s="17"/>
      <c r="E751" s="17"/>
      <c r="F751" s="17"/>
      <c r="G751" s="76"/>
      <c r="H751" s="19">
        <f t="shared" si="28"/>
        <v>0</v>
      </c>
      <c r="I751" s="91"/>
      <c r="J751" s="81"/>
    </row>
    <row r="752" spans="1:10" x14ac:dyDescent="0.25">
      <c r="A752" s="84"/>
      <c r="B752" s="17"/>
      <c r="C752" s="17"/>
      <c r="D752" s="17"/>
      <c r="E752" s="17"/>
      <c r="F752" s="17"/>
      <c r="G752" s="76"/>
      <c r="H752" s="19">
        <f t="shared" si="28"/>
        <v>0</v>
      </c>
      <c r="I752" s="91"/>
      <c r="J752" s="81"/>
    </row>
    <row r="753" spans="1:10" x14ac:dyDescent="0.25">
      <c r="A753" s="84"/>
      <c r="B753" s="17"/>
      <c r="C753" s="17"/>
      <c r="D753" s="17"/>
      <c r="E753" s="17"/>
      <c r="F753" s="17"/>
      <c r="G753" s="76"/>
      <c r="H753" s="19">
        <f t="shared" si="28"/>
        <v>0</v>
      </c>
      <c r="I753" s="91"/>
      <c r="J753" s="81"/>
    </row>
    <row r="754" spans="1:10" x14ac:dyDescent="0.25">
      <c r="A754" s="84"/>
      <c r="B754" s="17"/>
      <c r="C754" s="17"/>
      <c r="D754" s="17"/>
      <c r="E754" s="17"/>
      <c r="F754" s="17"/>
      <c r="G754" s="76"/>
      <c r="H754" s="19">
        <f t="shared" si="28"/>
        <v>0</v>
      </c>
      <c r="I754" s="91"/>
      <c r="J754" s="81"/>
    </row>
    <row r="755" spans="1:10" x14ac:dyDescent="0.25">
      <c r="A755" s="84"/>
      <c r="B755" s="17"/>
      <c r="C755" s="17"/>
      <c r="D755" s="17"/>
      <c r="E755" s="17"/>
      <c r="F755" s="17"/>
      <c r="G755" s="76"/>
      <c r="H755" s="19">
        <f t="shared" si="28"/>
        <v>0</v>
      </c>
      <c r="I755" s="91"/>
      <c r="J755" s="81"/>
    </row>
    <row r="756" spans="1:10" x14ac:dyDescent="0.25">
      <c r="A756" s="84"/>
      <c r="B756" s="17"/>
      <c r="C756" s="17"/>
      <c r="D756" s="17"/>
      <c r="E756" s="17"/>
      <c r="F756" s="17"/>
      <c r="G756" s="76"/>
      <c r="H756" s="19">
        <f t="shared" si="28"/>
        <v>0</v>
      </c>
      <c r="I756" s="91"/>
      <c r="J756" s="81"/>
    </row>
    <row r="757" spans="1:10" x14ac:dyDescent="0.25">
      <c r="A757" s="84"/>
      <c r="B757" s="17"/>
      <c r="C757" s="17"/>
      <c r="D757" s="17"/>
      <c r="E757" s="17"/>
      <c r="F757" s="17"/>
      <c r="G757" s="76"/>
      <c r="H757" s="19">
        <f t="shared" si="28"/>
        <v>0</v>
      </c>
      <c r="I757" s="91"/>
      <c r="J757" s="81"/>
    </row>
    <row r="758" spans="1:10" x14ac:dyDescent="0.25">
      <c r="A758" s="84"/>
      <c r="B758" s="17"/>
      <c r="C758" s="17"/>
      <c r="D758" s="17"/>
      <c r="E758" s="17"/>
      <c r="F758" s="17"/>
      <c r="G758" s="76"/>
      <c r="H758" s="19">
        <f t="shared" si="28"/>
        <v>0</v>
      </c>
      <c r="I758" s="91"/>
      <c r="J758" s="81"/>
    </row>
    <row r="759" spans="1:10" x14ac:dyDescent="0.25">
      <c r="A759" s="84"/>
      <c r="B759" s="17"/>
      <c r="C759" s="17"/>
      <c r="D759" s="17"/>
      <c r="E759" s="17"/>
      <c r="F759" s="17"/>
      <c r="G759" s="76"/>
      <c r="H759" s="19">
        <f t="shared" si="28"/>
        <v>0</v>
      </c>
      <c r="I759" s="91"/>
      <c r="J759" s="81"/>
    </row>
    <row r="760" spans="1:10" x14ac:dyDescent="0.25">
      <c r="A760" s="84"/>
      <c r="B760" s="17"/>
      <c r="C760" s="17"/>
      <c r="D760" s="17"/>
      <c r="E760" s="17"/>
      <c r="F760" s="17"/>
      <c r="G760" s="76"/>
      <c r="H760" s="19">
        <f t="shared" si="28"/>
        <v>0</v>
      </c>
      <c r="I760" s="91"/>
      <c r="J760" s="81"/>
    </row>
    <row r="761" spans="1:10" x14ac:dyDescent="0.25">
      <c r="A761" s="84"/>
      <c r="B761" s="17"/>
      <c r="C761" s="17"/>
      <c r="D761" s="17"/>
      <c r="E761" s="17"/>
      <c r="F761" s="17"/>
      <c r="G761" s="76"/>
      <c r="H761" s="19">
        <f t="shared" si="28"/>
        <v>0</v>
      </c>
      <c r="I761" s="91"/>
      <c r="J761" s="81"/>
    </row>
    <row r="762" spans="1:10" x14ac:dyDescent="0.25">
      <c r="A762" s="84"/>
      <c r="B762" s="17"/>
      <c r="C762" s="17"/>
      <c r="D762" s="17"/>
      <c r="E762" s="17"/>
      <c r="F762" s="17"/>
      <c r="G762" s="76"/>
      <c r="H762" s="19">
        <f t="shared" si="28"/>
        <v>0</v>
      </c>
      <c r="I762" s="91"/>
      <c r="J762" s="81"/>
    </row>
    <row r="763" spans="1:10" x14ac:dyDescent="0.25">
      <c r="A763" s="84"/>
      <c r="B763" s="17"/>
      <c r="C763" s="17"/>
      <c r="D763" s="17"/>
      <c r="E763" s="17"/>
      <c r="F763" s="17"/>
      <c r="G763" s="76"/>
      <c r="H763" s="19">
        <f t="shared" si="28"/>
        <v>0</v>
      </c>
      <c r="I763" s="91"/>
      <c r="J763" s="81"/>
    </row>
    <row r="764" spans="1:10" x14ac:dyDescent="0.25">
      <c r="A764" s="84"/>
      <c r="B764" s="17"/>
      <c r="C764" s="17"/>
      <c r="D764" s="17"/>
      <c r="E764" s="17"/>
      <c r="F764" s="17"/>
      <c r="G764" s="76"/>
      <c r="H764" s="19">
        <f t="shared" si="28"/>
        <v>0</v>
      </c>
      <c r="I764" s="91"/>
      <c r="J764" s="81"/>
    </row>
    <row r="765" spans="1:10" x14ac:dyDescent="0.25">
      <c r="A765" s="84"/>
      <c r="B765" s="17"/>
      <c r="C765" s="17"/>
      <c r="D765" s="17"/>
      <c r="E765" s="17"/>
      <c r="F765" s="17"/>
      <c r="G765" s="76"/>
      <c r="H765" s="19">
        <f t="shared" si="28"/>
        <v>0</v>
      </c>
      <c r="I765" s="91"/>
      <c r="J765" s="81"/>
    </row>
    <row r="766" spans="1:10" x14ac:dyDescent="0.25">
      <c r="A766" s="84"/>
      <c r="B766" s="17"/>
      <c r="C766" s="17"/>
      <c r="D766" s="17"/>
      <c r="E766" s="17"/>
      <c r="F766" s="17"/>
      <c r="G766" s="76"/>
      <c r="H766" s="19">
        <f t="shared" si="28"/>
        <v>0</v>
      </c>
      <c r="I766" s="91"/>
      <c r="J766" s="81"/>
    </row>
    <row r="767" spans="1:10" x14ac:dyDescent="0.25">
      <c r="A767" s="84"/>
      <c r="B767" s="17"/>
      <c r="C767" s="17"/>
      <c r="D767" s="17"/>
      <c r="E767" s="17"/>
      <c r="F767" s="17"/>
      <c r="G767" s="76"/>
      <c r="H767" s="19">
        <f t="shared" si="28"/>
        <v>0</v>
      </c>
      <c r="I767" s="91"/>
      <c r="J767" s="81"/>
    </row>
    <row r="768" spans="1:10" x14ac:dyDescent="0.25">
      <c r="A768" s="84"/>
      <c r="B768" s="17"/>
      <c r="C768" s="17"/>
      <c r="D768" s="17"/>
      <c r="E768" s="17"/>
      <c r="F768" s="17"/>
      <c r="G768" s="76"/>
      <c r="H768" s="19">
        <f t="shared" si="28"/>
        <v>0</v>
      </c>
      <c r="I768" s="91"/>
      <c r="J768" s="81"/>
    </row>
    <row r="769" spans="1:10" x14ac:dyDescent="0.25">
      <c r="A769" s="84"/>
      <c r="B769" s="17"/>
      <c r="C769" s="17"/>
      <c r="D769" s="17"/>
      <c r="E769" s="17"/>
      <c r="F769" s="17"/>
      <c r="G769" s="76"/>
      <c r="H769" s="19">
        <f t="shared" si="28"/>
        <v>0</v>
      </c>
      <c r="I769" s="91"/>
      <c r="J769" s="81"/>
    </row>
    <row r="770" spans="1:10" x14ac:dyDescent="0.25">
      <c r="A770" s="84"/>
      <c r="B770" s="17"/>
      <c r="C770" s="17"/>
      <c r="D770" s="17"/>
      <c r="E770" s="17"/>
      <c r="F770" s="17"/>
      <c r="G770" s="76"/>
      <c r="H770" s="19">
        <f t="shared" si="28"/>
        <v>0</v>
      </c>
      <c r="I770" s="91"/>
      <c r="J770" s="81"/>
    </row>
    <row r="771" spans="1:10" x14ac:dyDescent="0.25">
      <c r="A771" s="84"/>
      <c r="B771" s="17"/>
      <c r="C771" s="17"/>
      <c r="D771" s="17"/>
      <c r="E771" s="17"/>
      <c r="F771" s="17"/>
      <c r="G771" s="76"/>
      <c r="H771" s="19">
        <f t="shared" si="28"/>
        <v>0</v>
      </c>
      <c r="I771" s="91"/>
      <c r="J771" s="81"/>
    </row>
    <row r="772" spans="1:10" x14ac:dyDescent="0.25">
      <c r="A772" s="84"/>
      <c r="B772" s="17"/>
      <c r="C772" s="17"/>
      <c r="D772" s="17"/>
      <c r="E772" s="17"/>
      <c r="F772" s="17"/>
      <c r="G772" s="76"/>
      <c r="H772" s="19">
        <f t="shared" si="28"/>
        <v>0</v>
      </c>
      <c r="I772" s="91"/>
      <c r="J772" s="81"/>
    </row>
    <row r="773" spans="1:10" x14ac:dyDescent="0.25">
      <c r="A773" s="84"/>
      <c r="B773" s="17"/>
      <c r="C773" s="17"/>
      <c r="D773" s="17"/>
      <c r="E773" s="17"/>
      <c r="F773" s="17"/>
      <c r="G773" s="76"/>
      <c r="H773" s="19">
        <f t="shared" si="28"/>
        <v>0</v>
      </c>
      <c r="I773" s="91"/>
      <c r="J773" s="81"/>
    </row>
    <row r="774" spans="1:10" x14ac:dyDescent="0.25">
      <c r="A774" s="84"/>
      <c r="B774" s="17"/>
      <c r="C774" s="17"/>
      <c r="D774" s="17"/>
      <c r="E774" s="17"/>
      <c r="F774" s="17"/>
      <c r="G774" s="76"/>
      <c r="H774" s="19">
        <f t="shared" si="28"/>
        <v>0</v>
      </c>
      <c r="I774" s="91"/>
      <c r="J774" s="81"/>
    </row>
    <row r="775" spans="1:10" x14ac:dyDescent="0.25">
      <c r="A775" s="84"/>
      <c r="B775" s="17"/>
      <c r="C775" s="17"/>
      <c r="D775" s="17"/>
      <c r="E775" s="17"/>
      <c r="F775" s="17"/>
      <c r="G775" s="76"/>
      <c r="H775" s="19">
        <f t="shared" si="28"/>
        <v>0</v>
      </c>
      <c r="I775" s="91"/>
      <c r="J775" s="81"/>
    </row>
    <row r="776" spans="1:10" x14ac:dyDescent="0.25">
      <c r="A776" s="84"/>
      <c r="B776" s="17"/>
      <c r="C776" s="17"/>
      <c r="D776" s="17"/>
      <c r="E776" s="17"/>
      <c r="F776" s="17"/>
      <c r="G776" s="76"/>
      <c r="H776" s="19">
        <f t="shared" si="28"/>
        <v>0</v>
      </c>
      <c r="I776" s="91"/>
      <c r="J776" s="81"/>
    </row>
    <row r="777" spans="1:10" x14ac:dyDescent="0.25">
      <c r="A777" s="84"/>
      <c r="B777" s="17"/>
      <c r="C777" s="17"/>
      <c r="D777" s="17"/>
      <c r="E777" s="17"/>
      <c r="F777" s="17"/>
      <c r="G777" s="76"/>
      <c r="H777" s="19">
        <f t="shared" si="28"/>
        <v>0</v>
      </c>
      <c r="I777" s="91"/>
      <c r="J777" s="81"/>
    </row>
    <row r="778" spans="1:10" x14ac:dyDescent="0.25">
      <c r="A778" s="84"/>
      <c r="B778" s="17"/>
      <c r="C778" s="17"/>
      <c r="D778" s="17"/>
      <c r="E778" s="17"/>
      <c r="F778" s="17"/>
      <c r="G778" s="76"/>
      <c r="H778" s="19">
        <f t="shared" si="28"/>
        <v>0</v>
      </c>
      <c r="I778" s="91"/>
      <c r="J778" s="81"/>
    </row>
    <row r="779" spans="1:10" x14ac:dyDescent="0.25">
      <c r="A779" s="84"/>
      <c r="B779" s="17"/>
      <c r="C779" s="17"/>
      <c r="D779" s="17"/>
      <c r="E779" s="17"/>
      <c r="F779" s="17"/>
      <c r="G779" s="76"/>
      <c r="H779" s="19">
        <f t="shared" si="28"/>
        <v>0</v>
      </c>
      <c r="I779" s="91"/>
      <c r="J779" s="81"/>
    </row>
    <row r="780" spans="1:10" x14ac:dyDescent="0.25">
      <c r="A780" s="84"/>
      <c r="B780" s="17"/>
      <c r="C780" s="17"/>
      <c r="D780" s="17"/>
      <c r="E780" s="17"/>
      <c r="F780" s="17"/>
      <c r="G780" s="76"/>
      <c r="H780" s="19">
        <f t="shared" si="28"/>
        <v>0</v>
      </c>
      <c r="I780" s="91"/>
      <c r="J780" s="81"/>
    </row>
    <row r="781" spans="1:10" x14ac:dyDescent="0.25">
      <c r="A781" s="84"/>
      <c r="B781" s="17"/>
      <c r="C781" s="17"/>
      <c r="D781" s="17"/>
      <c r="E781" s="17"/>
      <c r="F781" s="17"/>
      <c r="G781" s="76"/>
      <c r="H781" s="19">
        <f t="shared" si="28"/>
        <v>0</v>
      </c>
      <c r="I781" s="91"/>
      <c r="J781" s="81"/>
    </row>
    <row r="782" spans="1:10" x14ac:dyDescent="0.25">
      <c r="A782" s="84"/>
      <c r="B782" s="17"/>
      <c r="C782" s="17"/>
      <c r="D782" s="17"/>
      <c r="E782" s="17"/>
      <c r="F782" s="17"/>
      <c r="G782" s="76"/>
      <c r="H782" s="19">
        <f t="shared" si="28"/>
        <v>0</v>
      </c>
      <c r="I782" s="91"/>
      <c r="J782" s="81"/>
    </row>
    <row r="783" spans="1:10" x14ac:dyDescent="0.25">
      <c r="A783" s="84"/>
      <c r="B783" s="17"/>
      <c r="C783" s="17"/>
      <c r="D783" s="17"/>
      <c r="E783" s="17"/>
      <c r="F783" s="17"/>
      <c r="G783" s="76"/>
      <c r="H783" s="19">
        <f t="shared" si="28"/>
        <v>0</v>
      </c>
      <c r="I783" s="91"/>
      <c r="J783" s="81"/>
    </row>
    <row r="784" spans="1:10" x14ac:dyDescent="0.25">
      <c r="A784" s="84"/>
      <c r="B784" s="17"/>
      <c r="C784" s="17"/>
      <c r="D784" s="17"/>
      <c r="E784" s="17"/>
      <c r="F784" s="17"/>
      <c r="G784" s="76"/>
      <c r="H784" s="19">
        <f t="shared" si="28"/>
        <v>0</v>
      </c>
      <c r="I784" s="91"/>
      <c r="J784" s="81"/>
    </row>
    <row r="785" spans="1:10" x14ac:dyDescent="0.25">
      <c r="A785" s="84"/>
      <c r="B785" s="17"/>
      <c r="C785" s="17"/>
      <c r="D785" s="17"/>
      <c r="E785" s="17"/>
      <c r="F785" s="17"/>
      <c r="G785" s="76"/>
      <c r="H785" s="19">
        <f t="shared" si="28"/>
        <v>0</v>
      </c>
      <c r="I785" s="91"/>
      <c r="J785" s="81"/>
    </row>
    <row r="786" spans="1:10" x14ac:dyDescent="0.25">
      <c r="A786" s="84"/>
      <c r="B786" s="17"/>
      <c r="C786" s="17"/>
      <c r="D786" s="17"/>
      <c r="E786" s="17"/>
      <c r="F786" s="17"/>
      <c r="G786" s="76"/>
      <c r="H786" s="19">
        <f t="shared" si="28"/>
        <v>0</v>
      </c>
      <c r="I786" s="91"/>
      <c r="J786" s="81"/>
    </row>
    <row r="787" spans="1:10" x14ac:dyDescent="0.25">
      <c r="A787" s="84"/>
      <c r="B787" s="17"/>
      <c r="C787" s="17"/>
      <c r="D787" s="17"/>
      <c r="E787" s="17"/>
      <c r="F787" s="17"/>
      <c r="G787" s="76"/>
      <c r="H787" s="19">
        <f t="shared" si="28"/>
        <v>0</v>
      </c>
      <c r="I787" s="91"/>
      <c r="J787" s="81"/>
    </row>
    <row r="788" spans="1:10" x14ac:dyDescent="0.25">
      <c r="A788" s="84"/>
      <c r="B788" s="17"/>
      <c r="C788" s="17"/>
      <c r="D788" s="17"/>
      <c r="E788" s="17"/>
      <c r="F788" s="17"/>
      <c r="G788" s="76"/>
      <c r="H788" s="19">
        <f t="shared" ref="H788:H807" si="29">F788*G788</f>
        <v>0</v>
      </c>
      <c r="I788" s="91"/>
      <c r="J788" s="81"/>
    </row>
    <row r="789" spans="1:10" x14ac:dyDescent="0.25">
      <c r="A789" s="84"/>
      <c r="B789" s="17"/>
      <c r="C789" s="17"/>
      <c r="D789" s="17"/>
      <c r="E789" s="17"/>
      <c r="F789" s="17"/>
      <c r="G789" s="76"/>
      <c r="H789" s="19">
        <f t="shared" si="29"/>
        <v>0</v>
      </c>
      <c r="I789" s="91"/>
      <c r="J789" s="81"/>
    </row>
    <row r="790" spans="1:10" x14ac:dyDescent="0.25">
      <c r="A790" s="84"/>
      <c r="B790" s="17"/>
      <c r="C790" s="17"/>
      <c r="D790" s="17"/>
      <c r="E790" s="17"/>
      <c r="F790" s="17"/>
      <c r="G790" s="76"/>
      <c r="H790" s="19">
        <f t="shared" si="29"/>
        <v>0</v>
      </c>
      <c r="I790" s="91"/>
      <c r="J790" s="81"/>
    </row>
    <row r="791" spans="1:10" x14ac:dyDescent="0.25">
      <c r="A791" s="84"/>
      <c r="B791" s="17"/>
      <c r="C791" s="17"/>
      <c r="D791" s="17"/>
      <c r="E791" s="17"/>
      <c r="F791" s="17"/>
      <c r="G791" s="76"/>
      <c r="H791" s="19">
        <f t="shared" si="29"/>
        <v>0</v>
      </c>
      <c r="I791" s="91"/>
      <c r="J791" s="81"/>
    </row>
    <row r="792" spans="1:10" x14ac:dyDescent="0.25">
      <c r="A792" s="84"/>
      <c r="B792" s="17"/>
      <c r="C792" s="17"/>
      <c r="D792" s="17"/>
      <c r="E792" s="17"/>
      <c r="F792" s="17"/>
      <c r="G792" s="76"/>
      <c r="H792" s="19">
        <f t="shared" si="29"/>
        <v>0</v>
      </c>
      <c r="I792" s="91"/>
      <c r="J792" s="81"/>
    </row>
    <row r="793" spans="1:10" x14ac:dyDescent="0.25">
      <c r="A793" s="84"/>
      <c r="B793" s="17"/>
      <c r="C793" s="17"/>
      <c r="D793" s="17"/>
      <c r="E793" s="17"/>
      <c r="F793" s="17"/>
      <c r="G793" s="76"/>
      <c r="H793" s="19">
        <f t="shared" si="29"/>
        <v>0</v>
      </c>
      <c r="I793" s="91"/>
      <c r="J793" s="81"/>
    </row>
    <row r="794" spans="1:10" x14ac:dyDescent="0.25">
      <c r="A794" s="84"/>
      <c r="B794" s="17"/>
      <c r="C794" s="17"/>
      <c r="D794" s="17"/>
      <c r="E794" s="17"/>
      <c r="F794" s="17"/>
      <c r="G794" s="76"/>
      <c r="H794" s="19">
        <f t="shared" si="29"/>
        <v>0</v>
      </c>
      <c r="I794" s="91"/>
      <c r="J794" s="81"/>
    </row>
    <row r="795" spans="1:10" x14ac:dyDescent="0.25">
      <c r="A795" s="84"/>
      <c r="B795" s="17"/>
      <c r="C795" s="17"/>
      <c r="D795" s="17"/>
      <c r="E795" s="17"/>
      <c r="F795" s="17"/>
      <c r="G795" s="76"/>
      <c r="H795" s="19">
        <f t="shared" si="29"/>
        <v>0</v>
      </c>
      <c r="I795" s="91"/>
      <c r="J795" s="81"/>
    </row>
    <row r="796" spans="1:10" x14ac:dyDescent="0.25">
      <c r="A796" s="84"/>
      <c r="B796" s="17"/>
      <c r="C796" s="17"/>
      <c r="D796" s="17"/>
      <c r="E796" s="17"/>
      <c r="F796" s="17"/>
      <c r="G796" s="76"/>
      <c r="H796" s="19">
        <f t="shared" si="29"/>
        <v>0</v>
      </c>
      <c r="I796" s="91"/>
      <c r="J796" s="81"/>
    </row>
    <row r="797" spans="1:10" x14ac:dyDescent="0.25">
      <c r="A797" s="84"/>
      <c r="B797" s="17"/>
      <c r="C797" s="17"/>
      <c r="D797" s="17"/>
      <c r="E797" s="17"/>
      <c r="F797" s="17"/>
      <c r="G797" s="76"/>
      <c r="H797" s="19">
        <f t="shared" si="29"/>
        <v>0</v>
      </c>
      <c r="I797" s="91"/>
      <c r="J797" s="81"/>
    </row>
    <row r="798" spans="1:10" x14ac:dyDescent="0.25">
      <c r="A798" s="84"/>
      <c r="B798" s="17"/>
      <c r="C798" s="17"/>
      <c r="D798" s="17"/>
      <c r="E798" s="17"/>
      <c r="F798" s="17"/>
      <c r="G798" s="76"/>
      <c r="H798" s="19">
        <f t="shared" si="29"/>
        <v>0</v>
      </c>
      <c r="I798" s="91"/>
      <c r="J798" s="81"/>
    </row>
    <row r="799" spans="1:10" x14ac:dyDescent="0.25">
      <c r="A799" s="84"/>
      <c r="B799" s="17"/>
      <c r="C799" s="17"/>
      <c r="D799" s="17"/>
      <c r="E799" s="17"/>
      <c r="F799" s="17"/>
      <c r="G799" s="76"/>
      <c r="H799" s="19">
        <f t="shared" si="29"/>
        <v>0</v>
      </c>
      <c r="I799" s="91"/>
      <c r="J799" s="81"/>
    </row>
    <row r="800" spans="1:10" x14ac:dyDescent="0.25">
      <c r="A800" s="84"/>
      <c r="B800" s="17"/>
      <c r="C800" s="17"/>
      <c r="D800" s="17"/>
      <c r="E800" s="17"/>
      <c r="F800" s="17"/>
      <c r="G800" s="76"/>
      <c r="H800" s="19">
        <f t="shared" si="29"/>
        <v>0</v>
      </c>
      <c r="I800" s="91"/>
      <c r="J800" s="81"/>
    </row>
    <row r="801" spans="1:10" x14ac:dyDescent="0.25">
      <c r="A801" s="84"/>
      <c r="B801" s="17"/>
      <c r="C801" s="17"/>
      <c r="D801" s="17"/>
      <c r="E801" s="17"/>
      <c r="F801" s="17"/>
      <c r="G801" s="76"/>
      <c r="H801" s="19">
        <f t="shared" si="29"/>
        <v>0</v>
      </c>
      <c r="I801" s="91"/>
      <c r="J801" s="81"/>
    </row>
    <row r="802" spans="1:10" x14ac:dyDescent="0.25">
      <c r="A802" s="84"/>
      <c r="B802" s="17"/>
      <c r="C802" s="17"/>
      <c r="D802" s="17"/>
      <c r="E802" s="17"/>
      <c r="F802" s="17"/>
      <c r="G802" s="76"/>
      <c r="H802" s="19">
        <f t="shared" si="29"/>
        <v>0</v>
      </c>
      <c r="I802" s="91"/>
      <c r="J802" s="81"/>
    </row>
    <row r="803" spans="1:10" x14ac:dyDescent="0.25">
      <c r="A803" s="84"/>
      <c r="B803" s="17"/>
      <c r="C803" s="17"/>
      <c r="D803" s="17"/>
      <c r="E803" s="17"/>
      <c r="F803" s="17"/>
      <c r="G803" s="76"/>
      <c r="H803" s="19">
        <f t="shared" si="29"/>
        <v>0</v>
      </c>
      <c r="I803" s="91"/>
      <c r="J803" s="81"/>
    </row>
    <row r="804" spans="1:10" x14ac:dyDescent="0.25">
      <c r="A804" s="84"/>
      <c r="B804" s="17"/>
      <c r="C804" s="17"/>
      <c r="D804" s="17"/>
      <c r="E804" s="17"/>
      <c r="F804" s="17"/>
      <c r="G804" s="76"/>
      <c r="H804" s="19">
        <f t="shared" si="29"/>
        <v>0</v>
      </c>
      <c r="I804" s="91"/>
      <c r="J804" s="81"/>
    </row>
    <row r="805" spans="1:10" x14ac:dyDescent="0.25">
      <c r="A805" s="84"/>
      <c r="B805" s="17"/>
      <c r="C805" s="17"/>
      <c r="D805" s="17"/>
      <c r="E805" s="17"/>
      <c r="F805" s="17"/>
      <c r="G805" s="76"/>
      <c r="H805" s="19">
        <f t="shared" si="29"/>
        <v>0</v>
      </c>
      <c r="I805" s="91"/>
      <c r="J805" s="81"/>
    </row>
    <row r="806" spans="1:10" x14ac:dyDescent="0.25">
      <c r="A806" s="84"/>
      <c r="B806" s="17"/>
      <c r="C806" s="17"/>
      <c r="D806" s="17"/>
      <c r="E806" s="17"/>
      <c r="F806" s="17"/>
      <c r="G806" s="76"/>
      <c r="H806" s="19">
        <f t="shared" si="29"/>
        <v>0</v>
      </c>
      <c r="I806" s="91"/>
      <c r="J806" s="81"/>
    </row>
    <row r="807" spans="1:10" x14ac:dyDescent="0.25">
      <c r="A807" s="84"/>
      <c r="B807" s="17"/>
      <c r="C807" s="17"/>
      <c r="D807" s="17"/>
      <c r="E807" s="17"/>
      <c r="F807" s="17"/>
      <c r="G807" s="76"/>
      <c r="H807" s="19">
        <f t="shared" si="29"/>
        <v>0</v>
      </c>
      <c r="I807" s="91"/>
      <c r="J807" s="81"/>
    </row>
  </sheetData>
  <autoFilter ref="A1:J807" xr:uid="{00000000-0001-0000-0200-000000000000}"/>
  <mergeCells count="25">
    <mergeCell ref="I22:I43"/>
    <mergeCell ref="I20:I21"/>
    <mergeCell ref="I2:I3"/>
    <mergeCell ref="I5:I8"/>
    <mergeCell ref="I9:I11"/>
    <mergeCell ref="I12:I16"/>
    <mergeCell ref="I17:I19"/>
    <mergeCell ref="I82:I101"/>
    <mergeCell ref="I102:I128"/>
    <mergeCell ref="I129:I157"/>
    <mergeCell ref="I76:I81"/>
    <mergeCell ref="I44:I51"/>
    <mergeCell ref="I52:I57"/>
    <mergeCell ref="I58:I62"/>
    <mergeCell ref="I63:I75"/>
    <mergeCell ref="I158:I160"/>
    <mergeCell ref="I161:I164"/>
    <mergeCell ref="I165:I173"/>
    <mergeCell ref="I174:I189"/>
    <mergeCell ref="I190:I212"/>
    <mergeCell ref="I213:I239"/>
    <mergeCell ref="I240:I269"/>
    <mergeCell ref="I270:I283"/>
    <mergeCell ref="I284:I299"/>
    <mergeCell ref="I300:I316"/>
  </mergeCells>
  <phoneticPr fontId="6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21"/>
  <sheetViews>
    <sheetView workbookViewId="0">
      <selection activeCell="D15" sqref="D15"/>
    </sheetView>
  </sheetViews>
  <sheetFormatPr baseColWidth="10" defaultColWidth="9.140625" defaultRowHeight="15" x14ac:dyDescent="0.25"/>
  <cols>
    <col min="1" max="1" width="21.140625" customWidth="1"/>
    <col min="2" max="3" width="16" customWidth="1"/>
    <col min="4" max="4" width="15.85546875" customWidth="1"/>
    <col min="5" max="5" width="16.28515625" customWidth="1"/>
    <col min="6" max="6" width="15.42578125" customWidth="1"/>
    <col min="7" max="7" width="15.7109375" customWidth="1"/>
    <col min="8" max="8" width="15" customWidth="1"/>
    <col min="9" max="9" width="14.5703125" customWidth="1"/>
    <col min="10" max="10" width="16" customWidth="1"/>
  </cols>
  <sheetData>
    <row r="1" spans="1:10" ht="21.75" thickBot="1" x14ac:dyDescent="0.4">
      <c r="A1" s="8" t="s">
        <v>35</v>
      </c>
      <c r="B1" s="164">
        <v>2026</v>
      </c>
      <c r="C1" s="164"/>
      <c r="D1" s="164"/>
      <c r="E1" s="164"/>
      <c r="F1" s="164"/>
      <c r="G1" s="164"/>
      <c r="H1" s="164"/>
      <c r="I1" s="164"/>
      <c r="J1" s="165"/>
    </row>
    <row r="2" spans="1:10" ht="16.5" thickBot="1" x14ac:dyDescent="0.3">
      <c r="A2" s="12" t="s">
        <v>15</v>
      </c>
      <c r="B2" s="10" t="s">
        <v>26</v>
      </c>
      <c r="C2" s="4" t="s">
        <v>27</v>
      </c>
      <c r="D2" s="5" t="s">
        <v>28</v>
      </c>
      <c r="E2" s="3" t="s">
        <v>29</v>
      </c>
      <c r="F2" s="3" t="s">
        <v>30</v>
      </c>
      <c r="G2" s="3" t="s">
        <v>31</v>
      </c>
      <c r="H2" s="3" t="s">
        <v>32</v>
      </c>
      <c r="I2" s="3" t="s">
        <v>33</v>
      </c>
      <c r="J2" s="3" t="s">
        <v>34</v>
      </c>
    </row>
    <row r="3" spans="1:10" x14ac:dyDescent="0.25">
      <c r="A3" s="30" t="s">
        <v>22</v>
      </c>
      <c r="B3" s="24">
        <v>42486.29</v>
      </c>
      <c r="C3" s="24">
        <v>42486.29</v>
      </c>
      <c r="D3" s="24">
        <v>42486.29</v>
      </c>
      <c r="E3" s="24">
        <v>42486.29</v>
      </c>
      <c r="F3" s="24">
        <v>42486.29</v>
      </c>
      <c r="G3" s="24">
        <v>42486.29</v>
      </c>
      <c r="H3" s="24">
        <v>42486.29</v>
      </c>
      <c r="I3" s="24">
        <v>42486.29</v>
      </c>
      <c r="J3" s="24">
        <v>42486.29</v>
      </c>
    </row>
    <row r="4" spans="1:10" x14ac:dyDescent="0.25">
      <c r="A4" s="31" t="s">
        <v>23</v>
      </c>
      <c r="B4" s="25">
        <v>33498.050000000003</v>
      </c>
      <c r="C4" s="25">
        <v>33498.050000000003</v>
      </c>
      <c r="D4" s="25">
        <v>33498.050000000003</v>
      </c>
      <c r="E4" s="25">
        <v>33498.050000000003</v>
      </c>
      <c r="F4" s="25">
        <v>33498.050000000003</v>
      </c>
      <c r="G4" s="25">
        <v>33498.050000000003</v>
      </c>
      <c r="H4" s="25">
        <v>33498.050000000003</v>
      </c>
      <c r="I4" s="25">
        <v>33498.050000000003</v>
      </c>
      <c r="J4" s="25">
        <v>33498.050000000003</v>
      </c>
    </row>
    <row r="5" spans="1:10" x14ac:dyDescent="0.25">
      <c r="A5" s="31" t="s">
        <v>24</v>
      </c>
      <c r="B5" s="25">
        <v>25000</v>
      </c>
      <c r="C5" s="25">
        <v>25000</v>
      </c>
      <c r="D5" s="25">
        <v>25000</v>
      </c>
      <c r="E5" s="25">
        <v>25000</v>
      </c>
      <c r="F5" s="25">
        <v>25000</v>
      </c>
      <c r="G5" s="25">
        <v>25000</v>
      </c>
      <c r="H5" s="25">
        <v>25000</v>
      </c>
      <c r="I5" s="25">
        <v>25000</v>
      </c>
      <c r="J5" s="25">
        <v>25000</v>
      </c>
    </row>
    <row r="6" spans="1:10" x14ac:dyDescent="0.25">
      <c r="A6" s="31" t="s">
        <v>25</v>
      </c>
      <c r="B6" s="25">
        <v>20000</v>
      </c>
      <c r="C6" s="25">
        <v>20000</v>
      </c>
      <c r="D6" s="25">
        <v>20000</v>
      </c>
      <c r="E6" s="25">
        <v>20000</v>
      </c>
      <c r="F6" s="25">
        <v>20000</v>
      </c>
      <c r="G6" s="25">
        <v>20000</v>
      </c>
      <c r="H6" s="25">
        <v>20000</v>
      </c>
      <c r="I6" s="25">
        <v>20000</v>
      </c>
      <c r="J6" s="25">
        <v>20000</v>
      </c>
    </row>
    <row r="7" spans="1:10" x14ac:dyDescent="0.25">
      <c r="A7" s="31" t="s">
        <v>88</v>
      </c>
      <c r="B7" s="25"/>
      <c r="C7" s="26"/>
      <c r="D7" s="26"/>
      <c r="E7" s="26"/>
      <c r="F7" s="26"/>
      <c r="G7" s="26"/>
      <c r="H7" s="26"/>
      <c r="I7" s="26"/>
      <c r="J7" s="26"/>
    </row>
    <row r="8" spans="1:10" ht="15.75" thickBot="1" x14ac:dyDescent="0.3">
      <c r="A8" s="32"/>
      <c r="B8" s="27"/>
      <c r="C8" s="28"/>
      <c r="D8" s="28"/>
      <c r="E8" s="28"/>
      <c r="F8" s="28"/>
      <c r="G8" s="28"/>
      <c r="H8" s="28"/>
      <c r="I8" s="28"/>
      <c r="J8" s="28"/>
    </row>
    <row r="9" spans="1:10" ht="21.75" thickBot="1" x14ac:dyDescent="0.4">
      <c r="A9" s="14" t="s">
        <v>55</v>
      </c>
      <c r="B9" s="166">
        <v>2026</v>
      </c>
      <c r="C9" s="166"/>
      <c r="D9" s="166"/>
      <c r="E9" s="166"/>
      <c r="F9" s="166"/>
      <c r="G9" s="166"/>
      <c r="H9" s="166"/>
      <c r="I9" s="166"/>
      <c r="J9" s="167"/>
    </row>
    <row r="10" spans="1:10" ht="16.5" thickBot="1" x14ac:dyDescent="0.3">
      <c r="A10" s="15" t="s">
        <v>56</v>
      </c>
      <c r="B10" s="9" t="s">
        <v>26</v>
      </c>
      <c r="C10" s="7" t="s">
        <v>27</v>
      </c>
      <c r="D10" s="7" t="s">
        <v>28</v>
      </c>
      <c r="E10" s="7" t="s">
        <v>29</v>
      </c>
      <c r="F10" s="7" t="s">
        <v>30</v>
      </c>
      <c r="G10" s="7" t="s">
        <v>31</v>
      </c>
      <c r="H10" s="7" t="s">
        <v>32</v>
      </c>
      <c r="I10" s="7" t="s">
        <v>33</v>
      </c>
      <c r="J10" s="7" t="s">
        <v>34</v>
      </c>
    </row>
    <row r="11" spans="1:10" x14ac:dyDescent="0.25">
      <c r="A11" s="30" t="s">
        <v>81</v>
      </c>
      <c r="B11" s="25"/>
      <c r="C11" s="26"/>
      <c r="D11" s="26"/>
      <c r="E11" s="26"/>
      <c r="F11" s="29"/>
      <c r="G11" s="26"/>
      <c r="H11" s="26"/>
      <c r="I11" s="26"/>
      <c r="J11" s="26"/>
    </row>
    <row r="12" spans="1:10" x14ac:dyDescent="0.25">
      <c r="A12" s="31" t="s">
        <v>82</v>
      </c>
      <c r="B12" s="25"/>
      <c r="C12" s="26"/>
      <c r="D12" s="26"/>
      <c r="E12" s="26"/>
      <c r="F12" s="26"/>
      <c r="G12" s="26"/>
      <c r="H12" s="26"/>
      <c r="I12" s="26"/>
      <c r="J12" s="26"/>
    </row>
    <row r="13" spans="1:10" x14ac:dyDescent="0.25">
      <c r="A13" s="31" t="s">
        <v>83</v>
      </c>
      <c r="B13" s="25"/>
      <c r="C13" s="26"/>
      <c r="D13" s="26"/>
      <c r="E13" s="26"/>
      <c r="F13" s="26"/>
      <c r="G13" s="26"/>
      <c r="H13" s="26"/>
      <c r="I13" s="26"/>
      <c r="J13" s="26"/>
    </row>
    <row r="14" spans="1:10" x14ac:dyDescent="0.25">
      <c r="A14" s="31" t="s">
        <v>84</v>
      </c>
      <c r="B14" s="25"/>
      <c r="C14" s="26"/>
      <c r="D14" s="26"/>
      <c r="E14" s="26"/>
      <c r="F14" s="26"/>
      <c r="G14" s="26"/>
      <c r="H14" s="26"/>
      <c r="I14" s="26"/>
      <c r="J14" s="26"/>
    </row>
    <row r="15" spans="1:10" x14ac:dyDescent="0.25">
      <c r="A15" s="31" t="s">
        <v>85</v>
      </c>
      <c r="B15" s="25"/>
      <c r="C15" s="26"/>
      <c r="D15" s="26"/>
      <c r="E15" s="26"/>
      <c r="F15" s="26"/>
      <c r="G15" s="26"/>
      <c r="H15" s="26"/>
      <c r="I15" s="26"/>
      <c r="J15" s="26"/>
    </row>
    <row r="16" spans="1:10" x14ac:dyDescent="0.25">
      <c r="A16" s="31" t="s">
        <v>86</v>
      </c>
      <c r="B16" s="25"/>
      <c r="C16" s="26"/>
      <c r="D16" s="26"/>
      <c r="E16" s="26"/>
      <c r="F16" s="26"/>
      <c r="G16" s="26"/>
      <c r="H16" s="26"/>
      <c r="I16" s="26"/>
      <c r="J16" s="26"/>
    </row>
    <row r="17" spans="1:10" x14ac:dyDescent="0.25">
      <c r="A17" s="31" t="s">
        <v>87</v>
      </c>
      <c r="B17" s="25"/>
      <c r="C17" s="26"/>
      <c r="D17" s="26"/>
      <c r="E17" s="26"/>
      <c r="F17" s="26"/>
      <c r="G17" s="26"/>
      <c r="H17" s="26"/>
      <c r="I17" s="26"/>
      <c r="J17" s="26"/>
    </row>
    <row r="18" spans="1:10" x14ac:dyDescent="0.25">
      <c r="A18" s="31" t="s">
        <v>89</v>
      </c>
      <c r="B18" s="25"/>
      <c r="C18" s="26"/>
      <c r="D18" s="26"/>
      <c r="E18" s="26"/>
      <c r="F18" s="26"/>
      <c r="G18" s="26"/>
      <c r="H18" s="26"/>
      <c r="I18" s="26"/>
      <c r="J18" s="26"/>
    </row>
    <row r="19" spans="1:10" x14ac:dyDescent="0.25">
      <c r="A19" s="13"/>
      <c r="B19" s="25"/>
      <c r="C19" s="26"/>
      <c r="D19" s="26"/>
      <c r="E19" s="26"/>
      <c r="F19" s="26"/>
      <c r="G19" s="26"/>
      <c r="H19" s="26"/>
      <c r="I19" s="26"/>
      <c r="J19" s="26"/>
    </row>
    <row r="20" spans="1:10" x14ac:dyDescent="0.25">
      <c r="A20" s="13"/>
      <c r="B20" s="25"/>
      <c r="C20" s="26"/>
      <c r="D20" s="26"/>
      <c r="E20" s="26"/>
      <c r="F20" s="26"/>
      <c r="G20" s="26"/>
      <c r="H20" s="26"/>
      <c r="I20" s="26"/>
      <c r="J20" s="26"/>
    </row>
    <row r="21" spans="1:10" x14ac:dyDescent="0.25">
      <c r="A21" s="13"/>
      <c r="B21" s="11"/>
      <c r="C21" s="6"/>
      <c r="D21" s="6"/>
      <c r="E21" s="6"/>
      <c r="F21" s="6"/>
      <c r="G21" s="6"/>
      <c r="H21" s="6"/>
      <c r="I21" s="6"/>
      <c r="J21" s="6"/>
    </row>
  </sheetData>
  <mergeCells count="2">
    <mergeCell ref="B1:J1"/>
    <mergeCell ref="B9:J9"/>
  </mergeCells>
  <phoneticPr fontId="6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35"/>
  <sheetViews>
    <sheetView workbookViewId="0">
      <selection activeCell="C16" sqref="C16"/>
    </sheetView>
  </sheetViews>
  <sheetFormatPr baseColWidth="10" defaultColWidth="9.140625" defaultRowHeight="15" x14ac:dyDescent="0.25"/>
  <cols>
    <col min="1" max="1" width="11.42578125" customWidth="1"/>
    <col min="2" max="2" width="19.7109375" customWidth="1"/>
    <col min="3" max="3" width="16.85546875" customWidth="1"/>
    <col min="4" max="4" width="17.28515625" customWidth="1"/>
  </cols>
  <sheetData>
    <row r="1" spans="1:4" x14ac:dyDescent="0.25">
      <c r="A1" s="16" t="s">
        <v>12</v>
      </c>
      <c r="B1" s="16" t="s">
        <v>16</v>
      </c>
      <c r="C1" s="16" t="s">
        <v>17</v>
      </c>
      <c r="D1" s="16" t="s">
        <v>18</v>
      </c>
    </row>
    <row r="2" spans="1:4" x14ac:dyDescent="0.25">
      <c r="A2" s="18">
        <v>46243</v>
      </c>
      <c r="B2" s="21">
        <f>SUM(Ventas!H2:H3)</f>
        <v>96000</v>
      </c>
      <c r="C2" s="21"/>
      <c r="D2" s="21">
        <f>B2-C2</f>
        <v>96000</v>
      </c>
    </row>
    <row r="3" spans="1:4" x14ac:dyDescent="0.25">
      <c r="A3" s="18">
        <v>46247</v>
      </c>
      <c r="B3" s="21">
        <v>8000</v>
      </c>
      <c r="C3" s="21"/>
      <c r="D3" s="21">
        <f>B3-C3</f>
        <v>8000</v>
      </c>
    </row>
    <row r="4" spans="1:4" x14ac:dyDescent="0.25">
      <c r="A4" s="18">
        <v>46248</v>
      </c>
      <c r="B4" s="21">
        <v>28800</v>
      </c>
      <c r="C4" s="21"/>
      <c r="D4" s="21">
        <f>B4-C4</f>
        <v>28800</v>
      </c>
    </row>
    <row r="5" spans="1:4" x14ac:dyDescent="0.25">
      <c r="A5" s="18">
        <v>46249</v>
      </c>
      <c r="B5" s="21">
        <v>11000</v>
      </c>
      <c r="C5" s="21"/>
      <c r="D5" s="21">
        <f>B5-C5</f>
        <v>11000</v>
      </c>
    </row>
    <row r="6" spans="1:4" x14ac:dyDescent="0.25">
      <c r="A6" s="18">
        <v>46250</v>
      </c>
      <c r="B6" s="21">
        <v>28000</v>
      </c>
      <c r="C6" s="21"/>
      <c r="D6" s="21">
        <f>B6-C6</f>
        <v>28000</v>
      </c>
    </row>
    <row r="7" spans="1:4" x14ac:dyDescent="0.25">
      <c r="A7" s="18">
        <v>46251</v>
      </c>
      <c r="B7" s="21">
        <v>80500</v>
      </c>
      <c r="C7" s="21"/>
      <c r="D7" s="21">
        <v>80500</v>
      </c>
    </row>
    <row r="8" spans="1:4" x14ac:dyDescent="0.25">
      <c r="A8" s="18"/>
      <c r="B8" s="21"/>
      <c r="C8" s="21"/>
      <c r="D8" s="21"/>
    </row>
    <row r="9" spans="1:4" x14ac:dyDescent="0.25">
      <c r="A9" s="18"/>
      <c r="B9" s="21"/>
      <c r="C9" s="21"/>
      <c r="D9" s="21"/>
    </row>
    <row r="10" spans="1:4" x14ac:dyDescent="0.25">
      <c r="A10" s="20"/>
      <c r="B10" s="21"/>
      <c r="C10" s="21"/>
      <c r="D10" s="53">
        <f>SUM(D2:D7)</f>
        <v>252300</v>
      </c>
    </row>
    <row r="11" spans="1:4" x14ac:dyDescent="0.25">
      <c r="A11" s="20"/>
      <c r="B11" s="21"/>
      <c r="C11" s="21"/>
      <c r="D11" s="21"/>
    </row>
    <row r="12" spans="1:4" x14ac:dyDescent="0.25">
      <c r="A12" s="20"/>
      <c r="B12" s="21"/>
      <c r="C12" s="21"/>
      <c r="D12" s="21"/>
    </row>
    <row r="13" spans="1:4" x14ac:dyDescent="0.25">
      <c r="A13" s="20"/>
      <c r="B13" s="21"/>
      <c r="C13" s="21"/>
      <c r="D13" s="21"/>
    </row>
    <row r="14" spans="1:4" x14ac:dyDescent="0.25">
      <c r="A14" s="20"/>
      <c r="B14" s="21"/>
      <c r="C14" s="21"/>
      <c r="D14" s="21"/>
    </row>
    <row r="15" spans="1:4" x14ac:dyDescent="0.25">
      <c r="A15" s="20"/>
      <c r="B15" s="21"/>
      <c r="C15" s="21"/>
      <c r="D15" s="21"/>
    </row>
    <row r="16" spans="1:4" x14ac:dyDescent="0.25">
      <c r="A16" s="20"/>
      <c r="B16" s="21"/>
      <c r="C16" s="21"/>
      <c r="D16" s="21"/>
    </row>
    <row r="17" spans="1:4" x14ac:dyDescent="0.25">
      <c r="A17" s="20"/>
      <c r="B17" s="21"/>
      <c r="C17" s="21"/>
      <c r="D17" s="21"/>
    </row>
    <row r="18" spans="1:4" x14ac:dyDescent="0.25">
      <c r="A18" s="20"/>
      <c r="B18" s="21"/>
      <c r="C18" s="21"/>
      <c r="D18" s="21"/>
    </row>
    <row r="19" spans="1:4" x14ac:dyDescent="0.25">
      <c r="A19" s="20"/>
      <c r="B19" s="21"/>
      <c r="C19" s="21"/>
      <c r="D19" s="21"/>
    </row>
    <row r="20" spans="1:4" x14ac:dyDescent="0.25">
      <c r="A20" s="20"/>
      <c r="B20" s="21"/>
      <c r="C20" s="21"/>
      <c r="D20" s="21"/>
    </row>
    <row r="21" spans="1:4" x14ac:dyDescent="0.25">
      <c r="A21" s="20"/>
      <c r="B21" s="21"/>
      <c r="C21" s="21"/>
      <c r="D21" s="21"/>
    </row>
    <row r="22" spans="1:4" x14ac:dyDescent="0.25">
      <c r="A22" s="20"/>
      <c r="B22" s="21"/>
      <c r="C22" s="21"/>
      <c r="D22" s="21"/>
    </row>
    <row r="23" spans="1:4" x14ac:dyDescent="0.25">
      <c r="A23" s="20"/>
      <c r="B23" s="21"/>
      <c r="C23" s="21"/>
      <c r="D23" s="21"/>
    </row>
    <row r="24" spans="1:4" x14ac:dyDescent="0.25">
      <c r="A24" s="20"/>
      <c r="B24" s="21"/>
      <c r="C24" s="21"/>
      <c r="D24" s="21"/>
    </row>
    <row r="25" spans="1:4" x14ac:dyDescent="0.25">
      <c r="A25" s="20"/>
      <c r="B25" s="21"/>
      <c r="C25" s="21"/>
      <c r="D25" s="21"/>
    </row>
    <row r="26" spans="1:4" x14ac:dyDescent="0.25">
      <c r="A26" s="20"/>
      <c r="B26" s="21"/>
      <c r="C26" s="21"/>
      <c r="D26" s="21"/>
    </row>
    <row r="27" spans="1:4" x14ac:dyDescent="0.25">
      <c r="A27" s="20"/>
      <c r="B27" s="21"/>
      <c r="C27" s="21"/>
      <c r="D27" s="21"/>
    </row>
    <row r="28" spans="1:4" x14ac:dyDescent="0.25">
      <c r="A28" s="20"/>
      <c r="B28" s="21"/>
      <c r="C28" s="21"/>
      <c r="D28" s="21"/>
    </row>
    <row r="29" spans="1:4" x14ac:dyDescent="0.25">
      <c r="A29" s="20"/>
      <c r="B29" s="21"/>
      <c r="C29" s="21"/>
      <c r="D29" s="21"/>
    </row>
    <row r="30" spans="1:4" x14ac:dyDescent="0.25">
      <c r="A30" s="20"/>
      <c r="B30" s="21"/>
      <c r="C30" s="21"/>
      <c r="D30" s="21"/>
    </row>
    <row r="31" spans="1:4" x14ac:dyDescent="0.25">
      <c r="A31" s="20"/>
      <c r="B31" s="21"/>
      <c r="C31" s="21"/>
      <c r="D31" s="21"/>
    </row>
    <row r="32" spans="1:4" x14ac:dyDescent="0.25">
      <c r="A32" s="20"/>
      <c r="B32" s="21"/>
      <c r="C32" s="21"/>
      <c r="D32" s="21"/>
    </row>
    <row r="33" spans="1:4" x14ac:dyDescent="0.25">
      <c r="A33" s="20"/>
      <c r="B33" s="21"/>
      <c r="C33" s="21"/>
      <c r="D33" s="21"/>
    </row>
    <row r="34" spans="1:4" x14ac:dyDescent="0.25">
      <c r="A34" s="20"/>
      <c r="B34" s="21"/>
      <c r="C34" s="21"/>
      <c r="D34" s="21"/>
    </row>
    <row r="35" spans="1:4" x14ac:dyDescent="0.25">
      <c r="A35" s="20"/>
      <c r="B35" s="21"/>
      <c r="C35" s="21"/>
      <c r="D35" s="2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CONTROL</vt:lpstr>
      <vt:lpstr>COMPRAS</vt:lpstr>
      <vt:lpstr>INVENTARIO</vt:lpstr>
      <vt:lpstr>macetas</vt:lpstr>
      <vt:lpstr>Ventas</vt:lpstr>
      <vt:lpstr>Costos</vt:lpstr>
      <vt:lpstr>FlujoCaja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lucas orellana</cp:lastModifiedBy>
  <dcterms:created xsi:type="dcterms:W3CDTF">2026-06-09T14:03:56Z</dcterms:created>
  <dcterms:modified xsi:type="dcterms:W3CDTF">2026-10-06T23:48:06Z</dcterms:modified>
</cp:coreProperties>
</file>